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ấu thành pod" sheetId="1" state="visible" r:id="rId3"/>
    <sheet name="BOM" sheetId="2" state="visible" r:id="rId4"/>
    <sheet name="Tổng hợp vật tư" sheetId="3" state="visible" r:id="rId5"/>
  </sheets>
  <definedNames>
    <definedName function="false" hidden="true" localSheetId="1" name="_xlnm._FilterDatabase" vbProcedure="false">BOM!$A$4:$L$167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<sst xmlns="http://schemas.openxmlformats.org/spreadsheetml/2006/main" count="924" uniqueCount="392">
  <si>
    <t xml:space="preserve">CẤU THÀNH POD – INDOOR POD V3</t>
  </si>
  <si>
    <t xml:space="preserve">Kích thước ghi theo Rộng (trái–phải) × Sâu (trước–sau) × Cao, đơn vị mm.</t>
  </si>
  <si>
    <t xml:space="preserve">A. THÔNG SỐ TỔNG</t>
  </si>
  <si>
    <t xml:space="preserve">Hạng mục</t>
  </si>
  <si>
    <t xml:space="preserve">Giá trị</t>
  </si>
  <si>
    <t xml:space="preserve">Ghi chú</t>
  </si>
  <si>
    <t xml:space="preserve">Kích thước ngoài (R × S × C)</t>
  </si>
  <si>
    <t xml:space="preserve">2500 × 1700 × 2417</t>
  </si>
  <si>
    <t xml:space="preserve">Cao tính cả chân tăng chỉnh; jack nguồn mặt sau nhô thêm ≈18 mm</t>
  </si>
  <si>
    <t xml:space="preserve">Kích thước lọt lòng (R × S × C)</t>
  </si>
  <si>
    <t xml:space="preserve">2372 × 1480 × 2223</t>
  </si>
  <si>
    <t xml:space="preserve">Từ mặt ván ốp trong đến mặt kính cửa; cao từ mặt sàn đến trần</t>
  </si>
  <si>
    <t xml:space="preserve">Diện tích sàn trong</t>
  </si>
  <si>
    <t xml:space="preserve">≈ 3.5 m²</t>
  </si>
  <si>
    <t xml:space="preserve">Cửa</t>
  </si>
  <si>
    <t xml:space="preserve">1 cánh kính, 1176 × 2011</t>
  </si>
  <si>
    <t xml:space="preserve">Cửa mở quay, 3 bản lề + 1 tay nắm</t>
  </si>
  <si>
    <t xml:space="preserve">Mặt trước</t>
  </si>
  <si>
    <t xml:space="preserve">Kính xám khói + decor khung thép ốp nhôm vàng</t>
  </si>
  <si>
    <t xml:space="preserve">Gồm cửa, vách kính cố định và 3 cụm decor (trái, phải, trên)</t>
  </si>
  <si>
    <t xml:space="preserve">Mặt ngoài vách / nóc</t>
  </si>
  <si>
    <t xml:space="preserve">Tấm nhôm 2 mm màu vàng</t>
  </si>
  <si>
    <t xml:space="preserve">Thông gió</t>
  </si>
  <si>
    <t xml:space="preserve">2 cụm quạt trên nóc (4 quạt)</t>
  </si>
  <si>
    <t xml:space="preserve">Trần trong có lưới lỗ thông gió dưới quạt</t>
  </si>
  <si>
    <t xml:space="preserve">Chiếu sáng</t>
  </si>
  <si>
    <t xml:space="preserve">2 đèn ốp trần vuông 170 × 170</t>
  </si>
  <si>
    <t xml:space="preserve">Điện / mạng</t>
  </si>
  <si>
    <t xml:space="preserve">Mặt trong: công tắc, ổ cắm, ổ LAN · Mặt ngoài: jack nguồn, jack LAN</t>
  </si>
  <si>
    <t xml:space="preserve">Đặt ở vách sau giữa</t>
  </si>
  <si>
    <t xml:space="preserve">Nội thất</t>
  </si>
  <si>
    <t xml:space="preserve">1 bàn 600 × 1000, cao 820</t>
  </si>
  <si>
    <t xml:space="preserve">Đặt sát vách sau giữa</t>
  </si>
  <si>
    <t xml:space="preserve">Chân đế</t>
  </si>
  <si>
    <t xml:space="preserve">6 chân tăng chỉnh D50 ren M12</t>
  </si>
  <si>
    <t xml:space="preserve">Bắt dưới khung sàn thép</t>
  </si>
  <si>
    <t xml:space="preserve">Cụm lớn nhất khi vận chuyển</t>
  </si>
  <si>
    <t xml:space="preserve">Trần: 2480 × 1486 × 64</t>
  </si>
  <si>
    <t xml:space="preserve">Vách bên: 64 × 1496 × 2300</t>
  </si>
  <si>
    <t xml:space="preserve">B. CÁC CỤM CẤU THÀNH</t>
  </si>
  <si>
    <t xml:space="preserve">STT</t>
  </si>
  <si>
    <t xml:space="preserve">Cụm</t>
  </si>
  <si>
    <t xml:space="preserve">Mã</t>
  </si>
  <si>
    <t xml:space="preserve">SL</t>
  </si>
  <si>
    <t xml:space="preserve">Kích thước bao (R × S × C)</t>
  </si>
  <si>
    <t xml:space="preserve">Vật liệu chính</t>
  </si>
  <si>
    <t xml:space="preserve">Cấu tạo / thành phần</t>
  </si>
  <si>
    <t xml:space="preserve">Liên kết khi lắp</t>
  </si>
  <si>
    <t xml:space="preserve">KẾT CẤU CHÍNH</t>
  </si>
  <si>
    <t xml:space="preserve">Khung sàn</t>
  </si>
  <si>
    <t xml:space="preserve">FL</t>
  </si>
  <si>
    <t xml:space="preserve">1</t>
  </si>
  <si>
    <t xml:space="preserve">2500 × 1703 × 106</t>
  </si>
  <si>
    <t xml:space="preserve">Thép hộp</t>
  </si>
  <si>
    <t xml:space="preserve">Hộp thép 100x50, 60x30, 20x20, pát bẻ góc, nẹp nhôm ngưỡng cửa</t>
  </si>
  <si>
    <t xml:space="preserve">Đặt trên 6 chân tăng chỉnh</t>
  </si>
  <si>
    <t xml:space="preserve">Chân tăng chỉnh</t>
  </si>
  <si>
    <t xml:space="preserve">MUA</t>
  </si>
  <si>
    <t xml:space="preserve">6</t>
  </si>
  <si>
    <t xml:space="preserve">Ø50, cao 81</t>
  </si>
  <si>
    <t xml:space="preserve">Thép</t>
  </si>
  <si>
    <t xml:space="preserve">Chân tăng chỉnh D50 ren M12</t>
  </si>
  <si>
    <t xml:space="preserve">Vặn vào lỗ ren dưới khung sàn</t>
  </si>
  <si>
    <t xml:space="preserve">Sàn</t>
  </si>
  <si>
    <t xml:space="preserve">FLR</t>
  </si>
  <si>
    <t xml:space="preserve">1 (2 tấm)</t>
  </si>
  <si>
    <t xml:space="preserve">2370 × 1429</t>
  </si>
  <si>
    <t xml:space="preserve">Gỗ</t>
  </si>
  <si>
    <t xml:space="preserve">2 tấm ván gỗ 9 mm</t>
  </si>
  <si>
    <t xml:space="preserve">Lát trên khung sàn</t>
  </si>
  <si>
    <t xml:space="preserve">Vách trái</t>
  </si>
  <si>
    <t xml:space="preserve">LW</t>
  </si>
  <si>
    <t xml:space="preserve">64 × 1496 × 2300</t>
  </si>
  <si>
    <t xml:space="preserve">Gỗ + nhôm</t>
  </si>
  <si>
    <t xml:space="preserve">Khung gỗ 40x40 · ván gỗ ốp trong 9 mm · ván gỗ 6 mm · tấm nhôm 2 mm vàng mặt ngoài</t>
  </si>
  <si>
    <t xml:space="preserve">Vách sau trái: 4 vít M8x60 · Trần: 3 vít M8x60</t>
  </si>
  <si>
    <t xml:space="preserve">Vách phải</t>
  </si>
  <si>
    <t xml:space="preserve">RW</t>
  </si>
  <si>
    <t xml:space="preserve">Vách sau phải: 4 vít M8x60 · Trần: 3 vít M8x60</t>
  </si>
  <si>
    <t xml:space="preserve">Vách sau – trái</t>
  </si>
  <si>
    <t xml:space="preserve">BWL</t>
  </si>
  <si>
    <t xml:space="preserve">939 × 64 × 2300</t>
  </si>
  <si>
    <t xml:space="preserve">Vách trái: 4 vít M8x60 · Vách sau giữa: 4 vít M8x40 · Trần: 2 vít M8x60</t>
  </si>
  <si>
    <t xml:space="preserve">Vách sau – giữa</t>
  </si>
  <si>
    <t xml:space="preserve">BWC</t>
  </si>
  <si>
    <t xml:space="preserve">640 × 64 × 2300</t>
  </si>
  <si>
    <t xml:space="preserve">Khung gỗ 40x40 · ván gỗ ốp trong 9 mm · ván gỗ 6 mm · tấm nhôm 2 mm vàng mặt ngoài · tấm nhôm vàng ốp trang trí mặt trong · lỗ đi dây, cụm điện</t>
  </si>
  <si>
    <t xml:space="preserve">Vách sau trái/phải: 8 vít M8x40</t>
  </si>
  <si>
    <t xml:space="preserve">Vách sau – phải</t>
  </si>
  <si>
    <t xml:space="preserve">BWR</t>
  </si>
  <si>
    <t xml:space="preserve">Vách phải: 4 vít M8x60 · Vách sau giữa: 4 vít M8x40 · Trần: 2 vít M8x60</t>
  </si>
  <si>
    <t xml:space="preserve">Trần</t>
  </si>
  <si>
    <t xml:space="preserve">CL</t>
  </si>
  <si>
    <t xml:space="preserve">2480 × 1486 × 64</t>
  </si>
  <si>
    <t xml:space="preserve">Khung gỗ 40x40 · ván gỗ ốp trong 9 mm (có lưới lỗ thông gió) · ván gỗ 6 mm · tấm nhôm 2 mm vàng</t>
  </si>
  <si>
    <t xml:space="preserve">Bắt xuống 4 vách: 10 vít M8x60</t>
  </si>
  <si>
    <t xml:space="preserve">MẶT TRƯỚC</t>
  </si>
  <si>
    <t xml:space="preserve">Decor trái</t>
  </si>
  <si>
    <t xml:space="preserve">DL</t>
  </si>
  <si>
    <t xml:space="preserve">278 × 230 × 2301</t>
  </si>
  <si>
    <t xml:space="preserve">Thép + nhôm</t>
  </si>
  <si>
    <t xml:space="preserve">Khung hộp thép 16x16, 60x20 · ốp nhôm 3 mm vàng</t>
  </si>
  <si>
    <t xml:space="preserve">Decor phải</t>
  </si>
  <si>
    <t xml:space="preserve">DR</t>
  </si>
  <si>
    <t xml:space="preserve">1020 × 235 × 2302</t>
  </si>
  <si>
    <t xml:space="preserve">Khung hộp thép 16x16 · ốp nhôm 3 mm vàng (có tấm uốn định hình)</t>
  </si>
  <si>
    <t xml:space="preserve">Decor trên</t>
  </si>
  <si>
    <t xml:space="preserve">DT</t>
  </si>
  <si>
    <t xml:space="preserve">1697 × 235 × 280</t>
  </si>
  <si>
    <t xml:space="preserve">Khung hộp thép 16x16 · ốp nhôm 3 mm vàng</t>
  </si>
  <si>
    <t xml:space="preserve">Cửa kính</t>
  </si>
  <si>
    <t xml:space="preserve">GL</t>
  </si>
  <si>
    <t xml:space="preserve">1176 × 10 × 2011</t>
  </si>
  <si>
    <t xml:space="preserve">Kính</t>
  </si>
  <si>
    <t xml:space="preserve">Kính xám khói 10 mm</t>
  </si>
  <si>
    <t xml:space="preserve">3 bản lề kính + 1 tay nắm 300 mm</t>
  </si>
  <si>
    <t xml:space="preserve">Vách kính cố định</t>
  </si>
  <si>
    <t xml:space="preserve">GW</t>
  </si>
  <si>
    <t xml:space="preserve">1014 × 10 × 2017</t>
  </si>
  <si>
    <t xml:space="preserve">Kính xám khói 10 mm, cạnh vát theo decor</t>
  </si>
  <si>
    <t xml:space="preserve">THIẾT BỊ &amp; NỘI THẤT</t>
  </si>
  <si>
    <t xml:space="preserve">Quạt thông gió</t>
  </si>
  <si>
    <t xml:space="preserve">2 cụm (4 quạt)</t>
  </si>
  <si>
    <t xml:space="preserve">202 × 404 × 60 / cụm</t>
  </si>
  <si>
    <t xml:space="preserve">Linh kiện</t>
  </si>
  <si>
    <t xml:space="preserve">Mỗi cụm 2 quạt ~200 × 200</t>
  </si>
  <si>
    <t xml:space="preserve">Lắp trên nóc</t>
  </si>
  <si>
    <t xml:space="preserve">Đèn ốp trần</t>
  </si>
  <si>
    <t xml:space="preserve">2</t>
  </si>
  <si>
    <t xml:space="preserve">170 × 170 × 25</t>
  </si>
  <si>
    <t xml:space="preserve">Đèn vuông</t>
  </si>
  <si>
    <t xml:space="preserve">Lắp dưới trần</t>
  </si>
  <si>
    <t xml:space="preserve">Công tắc · ổ cắm · ổ LAN</t>
  </si>
  <si>
    <t xml:space="preserve">1 mỗi loại</t>
  </si>
  <si>
    <t xml:space="preserve">86 × 86</t>
  </si>
  <si>
    <t xml:space="preserve">Mặt trong vách sau giữa</t>
  </si>
  <si>
    <t xml:space="preserve">Jack nguồn · jack LAN</t>
  </si>
  <si>
    <t xml:space="preserve">≈ 35 × 35</t>
  </si>
  <si>
    <t xml:space="preserve">Mặt ngoài vách sau giữa</t>
  </si>
  <si>
    <t xml:space="preserve">Bàn</t>
  </si>
  <si>
    <t xml:space="preserve">TB</t>
  </si>
  <si>
    <t xml:space="preserve">600 × 1000 × 820</t>
  </si>
  <si>
    <t xml:space="preserve">Gỗ + thép</t>
  </si>
  <si>
    <t xml:space="preserve">Mặt gỗ 20 mm · chân ống thép Ø100 · đế thép 200 × 200</t>
  </si>
  <si>
    <t xml:space="preserve">Đặt trên sàn, sát vách sau giữa</t>
  </si>
  <si>
    <t xml:space="preserve">BOM VẬT TƯ – INDOOR POD V3</t>
  </si>
  <si>
    <t xml:space="preserve">Kích thước tổng: 2500 × 1718 × 2417 mm · Cập nhật 29/10/2026</t>
  </si>
  <si>
    <t xml:space="preserve">Vật liệu</t>
  </si>
  <si>
    <t xml:space="preserve">Quy cách</t>
  </si>
  <si>
    <t xml:space="preserve">Dài (mm)</t>
  </si>
  <si>
    <t xml:space="preserve">Rộng (mm)</t>
  </si>
  <si>
    <t xml:space="preserve">Dày (mm)</t>
  </si>
  <si>
    <t xml:space="preserve">Số lượng</t>
  </si>
  <si>
    <t xml:space="preserve">Tổng dài (m)</t>
  </si>
  <si>
    <t xml:space="preserve">Diện tích (m²)</t>
  </si>
  <si>
    <t xml:space="preserve">FL — Khung sàn</t>
  </si>
  <si>
    <t xml:space="preserve">FL-01</t>
  </si>
  <si>
    <t xml:space="preserve">Hộp thép 100x50</t>
  </si>
  <si>
    <t xml:space="preserve">FL-02</t>
  </si>
  <si>
    <t xml:space="preserve">FL-03</t>
  </si>
  <si>
    <t xml:space="preserve">FL-04</t>
  </si>
  <si>
    <t xml:space="preserve">FL-05</t>
  </si>
  <si>
    <t xml:space="preserve">FL-06</t>
  </si>
  <si>
    <t xml:space="preserve">FL-07</t>
  </si>
  <si>
    <t xml:space="preserve">FL-08</t>
  </si>
  <si>
    <t xml:space="preserve">Đoạn ngắn cắt xiên, dài ≈76 mm</t>
  </si>
  <si>
    <t xml:space="preserve">FL-09</t>
  </si>
  <si>
    <t xml:space="preserve">Hộp thép 20x20</t>
  </si>
  <si>
    <t xml:space="preserve">FL-10</t>
  </si>
  <si>
    <t xml:space="preserve">Hộp thép 60x30</t>
  </si>
  <si>
    <t xml:space="preserve">FL-11</t>
  </si>
  <si>
    <t xml:space="preserve">Ốp mép sàn trước</t>
  </si>
  <si>
    <t xml:space="preserve">Nhôm</t>
  </si>
  <si>
    <t xml:space="preserve">Tấm nhôm 3 mm màu vàng</t>
  </si>
  <si>
    <t xml:space="preserve">Nẹp ngưỡng cửa</t>
  </si>
  <si>
    <t xml:space="preserve">FL-12</t>
  </si>
  <si>
    <t xml:space="preserve">Pát</t>
  </si>
  <si>
    <t xml:space="preserve">Bản mã thép 3 mm</t>
  </si>
  <si>
    <t xml:space="preserve">FL-13</t>
  </si>
  <si>
    <t xml:space="preserve">Pát thép bẻ góc 3 mm</t>
  </si>
  <si>
    <t xml:space="preserve">FLR — Sàn</t>
  </si>
  <si>
    <t xml:space="preserve">FLR-01</t>
  </si>
  <si>
    <t xml:space="preserve">Ván gỗ 9 mm</t>
  </si>
  <si>
    <t xml:space="preserve">LW — Vách trái</t>
  </si>
  <si>
    <t xml:space="preserve">LW-01</t>
  </si>
  <si>
    <t xml:space="preserve">Khung</t>
  </si>
  <si>
    <t xml:space="preserve">Thanh gỗ 40x40</t>
  </si>
  <si>
    <t xml:space="preserve">LW-02</t>
  </si>
  <si>
    <t xml:space="preserve">LW-03</t>
  </si>
  <si>
    <t xml:space="preserve">LW-04</t>
  </si>
  <si>
    <t xml:space="preserve">Ốp trong</t>
  </si>
  <si>
    <t xml:space="preserve">LW-05</t>
  </si>
  <si>
    <t xml:space="preserve">Ốp ngoài (lớp gỗ)</t>
  </si>
  <si>
    <t xml:space="preserve">Ván gỗ 6 mm</t>
  </si>
  <si>
    <t xml:space="preserve">Lớp gỗ dưới tấm nhôm</t>
  </si>
  <si>
    <t xml:space="preserve">LW-06</t>
  </si>
  <si>
    <t xml:space="preserve">LW-07</t>
  </si>
  <si>
    <t xml:space="preserve">Ốp ngoài cùng</t>
  </si>
  <si>
    <t xml:space="preserve">Mặt ngoài pod</t>
  </si>
  <si>
    <t xml:space="preserve">LW-08</t>
  </si>
  <si>
    <t xml:space="preserve">RW — Vách phải</t>
  </si>
  <si>
    <t xml:space="preserve">RW-01</t>
  </si>
  <si>
    <t xml:space="preserve">RW-02</t>
  </si>
  <si>
    <t xml:space="preserve">RW-03</t>
  </si>
  <si>
    <t xml:space="preserve">RW-04</t>
  </si>
  <si>
    <t xml:space="preserve">RW-05</t>
  </si>
  <si>
    <t xml:space="preserve">RW-06</t>
  </si>
  <si>
    <t xml:space="preserve">RW-07</t>
  </si>
  <si>
    <t xml:space="preserve">RW-08</t>
  </si>
  <si>
    <t xml:space="preserve">BWL — Vách sau – trái</t>
  </si>
  <si>
    <t xml:space="preserve">BWL-01</t>
  </si>
  <si>
    <t xml:space="preserve">BWL-02</t>
  </si>
  <si>
    <t xml:space="preserve">Có xẻ rãnh</t>
  </si>
  <si>
    <t xml:space="preserve">BWL-03</t>
  </si>
  <si>
    <t xml:space="preserve">BWL-04</t>
  </si>
  <si>
    <t xml:space="preserve">BWL-05</t>
  </si>
  <si>
    <t xml:space="preserve">BWL-06</t>
  </si>
  <si>
    <t xml:space="preserve">BWL-07</t>
  </si>
  <si>
    <t xml:space="preserve">BWC — Vách sau – giữa</t>
  </si>
  <si>
    <t xml:space="preserve">BWC-01</t>
  </si>
  <si>
    <t xml:space="preserve">BWC-02</t>
  </si>
  <si>
    <t xml:space="preserve">BWC-03</t>
  </si>
  <si>
    <t xml:space="preserve">BWC-04</t>
  </si>
  <si>
    <t xml:space="preserve">BWC-05</t>
  </si>
  <si>
    <t xml:space="preserve">BWC-06</t>
  </si>
  <si>
    <t xml:space="preserve">BWC-07</t>
  </si>
  <si>
    <t xml:space="preserve">Ốp trang trí mặt trong</t>
  </si>
  <si>
    <t xml:space="preserve">Ốp thêm trang trí mặt trong vách sau giữa</t>
  </si>
  <si>
    <t xml:space="preserve">BWR — Vách sau – phải</t>
  </si>
  <si>
    <t xml:space="preserve">BWR-01</t>
  </si>
  <si>
    <t xml:space="preserve">BWR-02</t>
  </si>
  <si>
    <t xml:space="preserve">BWR-03</t>
  </si>
  <si>
    <t xml:space="preserve">BWR-04</t>
  </si>
  <si>
    <t xml:space="preserve">BWR-05</t>
  </si>
  <si>
    <t xml:space="preserve">BWR-06</t>
  </si>
  <si>
    <t xml:space="preserve">BWR-07</t>
  </si>
  <si>
    <t xml:space="preserve">CL — Trần</t>
  </si>
  <si>
    <t xml:space="preserve">CL-01</t>
  </si>
  <si>
    <t xml:space="preserve">CL-02</t>
  </si>
  <si>
    <t xml:space="preserve">CL-03</t>
  </si>
  <si>
    <t xml:space="preserve">Ốp trong trần</t>
  </si>
  <si>
    <t xml:space="preserve">CL-04</t>
  </si>
  <si>
    <t xml:space="preserve">CL-05</t>
  </si>
  <si>
    <t xml:space="preserve">DL — Decor mặt trước – trái</t>
  </si>
  <si>
    <t xml:space="preserve">DL-01</t>
  </si>
  <si>
    <t xml:space="preserve">Khung decor</t>
  </si>
  <si>
    <t xml:space="preserve">Hộp thép 16x16</t>
  </si>
  <si>
    <t xml:space="preserve">DL-02</t>
  </si>
  <si>
    <t xml:space="preserve">DL-03</t>
  </si>
  <si>
    <t xml:space="preserve">DL-04</t>
  </si>
  <si>
    <t xml:space="preserve">DL-05</t>
  </si>
  <si>
    <t xml:space="preserve">DL-06</t>
  </si>
  <si>
    <t xml:space="preserve">DL-07</t>
  </si>
  <si>
    <t xml:space="preserve">DL-08</t>
  </si>
  <si>
    <t xml:space="preserve">DL-09</t>
  </si>
  <si>
    <t xml:space="preserve">DL-10</t>
  </si>
  <si>
    <t xml:space="preserve">DL-11</t>
  </si>
  <si>
    <t xml:space="preserve">DL-12</t>
  </si>
  <si>
    <t xml:space="preserve">DL-13</t>
  </si>
  <si>
    <t xml:space="preserve">Hộp thép 60x20</t>
  </si>
  <si>
    <t xml:space="preserve">DL-14</t>
  </si>
  <si>
    <t xml:space="preserve">Ốp decor</t>
  </si>
  <si>
    <t xml:space="preserve">DL-15</t>
  </si>
  <si>
    <t xml:space="preserve">Cắt theo hình</t>
  </si>
  <si>
    <t xml:space="preserve">DL-16</t>
  </si>
  <si>
    <t xml:space="preserve">Ốp decor uốn định hình</t>
  </si>
  <si>
    <t xml:space="preserve">Uốn định hình; kích thước là kích thước bao, diện tích là trải phẳng ước tính</t>
  </si>
  <si>
    <t xml:space="preserve">DL-17</t>
  </si>
  <si>
    <t xml:space="preserve">Pát thép 2 mm</t>
  </si>
  <si>
    <t xml:space="preserve">DR — Decor mặt trước – phải</t>
  </si>
  <si>
    <t xml:space="preserve">DR-01</t>
  </si>
  <si>
    <t xml:space="preserve">DR-02</t>
  </si>
  <si>
    <t xml:space="preserve">DR-03</t>
  </si>
  <si>
    <t xml:space="preserve">DR-04</t>
  </si>
  <si>
    <t xml:space="preserve">DR-05</t>
  </si>
  <si>
    <t xml:space="preserve">DR-06</t>
  </si>
  <si>
    <t xml:space="preserve">DR-07</t>
  </si>
  <si>
    <t xml:space="preserve">DR-08</t>
  </si>
  <si>
    <t xml:space="preserve">DR-09</t>
  </si>
  <si>
    <t xml:space="preserve">DR-10</t>
  </si>
  <si>
    <t xml:space="preserve">DR-11</t>
  </si>
  <si>
    <t xml:space="preserve">DR-12</t>
  </si>
  <si>
    <t xml:space="preserve">DR-13</t>
  </si>
  <si>
    <t xml:space="preserve">DR-14</t>
  </si>
  <si>
    <t xml:space="preserve">DR-15</t>
  </si>
  <si>
    <t xml:space="preserve">DR-16</t>
  </si>
  <si>
    <t xml:space="preserve">DR-17</t>
  </si>
  <si>
    <t xml:space="preserve">DR-18</t>
  </si>
  <si>
    <t xml:space="preserve">DR-19</t>
  </si>
  <si>
    <t xml:space="preserve">DR-20</t>
  </si>
  <si>
    <t xml:space="preserve">DR-21</t>
  </si>
  <si>
    <t xml:space="preserve">DR-22</t>
  </si>
  <si>
    <t xml:space="preserve">DR-23</t>
  </si>
  <si>
    <t xml:space="preserve">DR-24</t>
  </si>
  <si>
    <t xml:space="preserve">DR-25</t>
  </si>
  <si>
    <t xml:space="preserve">DR-26</t>
  </si>
  <si>
    <t xml:space="preserve">DR-27</t>
  </si>
  <si>
    <t xml:space="preserve">DR-28</t>
  </si>
  <si>
    <t xml:space="preserve">DR-29</t>
  </si>
  <si>
    <t xml:space="preserve">DR-30</t>
  </si>
  <si>
    <t xml:space="preserve">DR-31</t>
  </si>
  <si>
    <t xml:space="preserve">DR-32</t>
  </si>
  <si>
    <t xml:space="preserve">DT — Decor mặt trước – trên</t>
  </si>
  <si>
    <t xml:space="preserve">DT-01</t>
  </si>
  <si>
    <t xml:space="preserve">DT-02</t>
  </si>
  <si>
    <t xml:space="preserve">DT-03</t>
  </si>
  <si>
    <t xml:space="preserve">DT-04</t>
  </si>
  <si>
    <t xml:space="preserve">DT-05</t>
  </si>
  <si>
    <t xml:space="preserve">DT-06</t>
  </si>
  <si>
    <t xml:space="preserve">DT-07</t>
  </si>
  <si>
    <t xml:space="preserve">DT-08</t>
  </si>
  <si>
    <t xml:space="preserve">DT-09</t>
  </si>
  <si>
    <t xml:space="preserve">DT-10</t>
  </si>
  <si>
    <t xml:space="preserve">DT-11</t>
  </si>
  <si>
    <t xml:space="preserve">DT-12</t>
  </si>
  <si>
    <t xml:space="preserve">DT-13</t>
  </si>
  <si>
    <t xml:space="preserve">DT-14</t>
  </si>
  <si>
    <t xml:space="preserve">DT-15</t>
  </si>
  <si>
    <t xml:space="preserve">DT-16</t>
  </si>
  <si>
    <t xml:space="preserve">DT-17</t>
  </si>
  <si>
    <t xml:space="preserve">DT-18</t>
  </si>
  <si>
    <t xml:space="preserve">DT-19</t>
  </si>
  <si>
    <t xml:space="preserve">DT-20</t>
  </si>
  <si>
    <t xml:space="preserve">DT-21</t>
  </si>
  <si>
    <t xml:space="preserve">DT-22</t>
  </si>
  <si>
    <t xml:space="preserve">DT-23</t>
  </si>
  <si>
    <t xml:space="preserve">DT-24</t>
  </si>
  <si>
    <t xml:space="preserve">TB — Bàn</t>
  </si>
  <si>
    <t xml:space="preserve">TB-01</t>
  </si>
  <si>
    <t xml:space="preserve">Mặt bàn</t>
  </si>
  <si>
    <t xml:space="preserve">Ván gỗ 20 mm</t>
  </si>
  <si>
    <t xml:space="preserve">Bo góc</t>
  </si>
  <si>
    <t xml:space="preserve">TB-02</t>
  </si>
  <si>
    <t xml:space="preserve">Chân bàn</t>
  </si>
  <si>
    <t xml:space="preserve">Ống thép Ø100</t>
  </si>
  <si>
    <t xml:space="preserve">TB-03</t>
  </si>
  <si>
    <t xml:space="preserve">Đế chân bàn</t>
  </si>
  <si>
    <t xml:space="preserve">Bản thép 3 mm</t>
  </si>
  <si>
    <t xml:space="preserve">GL — Cửa</t>
  </si>
  <si>
    <t xml:space="preserve">GL-01</t>
  </si>
  <si>
    <t xml:space="preserve">Cắt theo kích thước</t>
  </si>
  <si>
    <t xml:space="preserve">GW — Vách kính</t>
  </si>
  <si>
    <t xml:space="preserve">GW-01</t>
  </si>
  <si>
    <t xml:space="preserve">VT — Vít &amp; tán cấy bắt vách</t>
  </si>
  <si>
    <t xml:space="preserve">VT-01</t>
  </si>
  <si>
    <t xml:space="preserve">Vít bắt vách</t>
  </si>
  <si>
    <t xml:space="preserve">Vít M8x60</t>
  </si>
  <si>
    <t xml:space="preserve">8 con: 2 góc sau (vách sau trái/phải ↔ vách trái/phải), 4 con mỗi góc; 10 con: trần ↔ vách (vách trái 3, vách phải 3, vách sau trái 2, vách sau phải 2)</t>
  </si>
  <si>
    <t xml:space="preserve">VT-02</t>
  </si>
  <si>
    <t xml:space="preserve">Vít M8x40</t>
  </si>
  <si>
    <t xml:space="preserve">Vách sau giữa ↔ vách sau trái/phải, 4 con mỗi bên</t>
  </si>
  <si>
    <t xml:space="preserve">VT-03</t>
  </si>
  <si>
    <t xml:space="preserve">Tán cấy M8x20</t>
  </si>
  <si>
    <t xml:space="preserve">Cấy vào khung gỗ, 1 con cho mỗi vít M8</t>
  </si>
  <si>
    <t xml:space="preserve">MUA — Linh kiện mua</t>
  </si>
  <si>
    <t xml:space="preserve">MUA-01</t>
  </si>
  <si>
    <t xml:space="preserve">Linh kiện mua</t>
  </si>
  <si>
    <t xml:space="preserve">MUA-02</t>
  </si>
  <si>
    <t xml:space="preserve">Quạt thông gió 200x200x60</t>
  </si>
  <si>
    <t xml:space="preserve">2 cụm, mỗi cụm 2 quạt</t>
  </si>
  <si>
    <t xml:space="preserve">MUA-03</t>
  </si>
  <si>
    <t xml:space="preserve">Đèn ốp trần vuông 170x170</t>
  </si>
  <si>
    <t xml:space="preserve">MUA-04</t>
  </si>
  <si>
    <t xml:space="preserve">Công tắc (mặt 86x86)</t>
  </si>
  <si>
    <t xml:space="preserve">MUA-05</t>
  </si>
  <si>
    <t xml:space="preserve">Ổ cắm điện (mặt 86x86)</t>
  </si>
  <si>
    <t xml:space="preserve">MUA-06</t>
  </si>
  <si>
    <t xml:space="preserve">Ổ mạng LAN (mặt 86x86)</t>
  </si>
  <si>
    <t xml:space="preserve">MUA-07</t>
  </si>
  <si>
    <t xml:space="preserve">Jack LAN</t>
  </si>
  <si>
    <t xml:space="preserve">MUA-08</t>
  </si>
  <si>
    <t xml:space="preserve">Jack nguồn</t>
  </si>
  <si>
    <t xml:space="preserve">MUA-09</t>
  </si>
  <si>
    <t xml:space="preserve">Bản lề cửa kính</t>
  </si>
  <si>
    <t xml:space="preserve">MUA-10</t>
  </si>
  <si>
    <t xml:space="preserve">Tay nắm cửa kính 300 mm</t>
  </si>
  <si>
    <t xml:space="preserve">TỔNG HỢP VẬT TƯ – INDOOR POD V3</t>
  </si>
  <si>
    <t xml:space="preserve">Hao hụt cắt</t>
  </si>
  <si>
    <t xml:space="preserve">Ô vàng là giả định (hao hụt, chiều dài cây, khổ tấm) – sửa theo nhà cung cấp, số cây/tấm tự tính lại.</t>
  </si>
  <si>
    <t xml:space="preserve">GỖ</t>
  </si>
  <si>
    <t xml:space="preserve">Cây dài (mm) / Khổ tấm (mm)</t>
  </si>
  <si>
    <t xml:space="preserve">Số cây / tấm cần</t>
  </si>
  <si>
    <t xml:space="preserve">Theo tổng chiều dài, chưa tối ưu sơ đồ cắt</t>
  </si>
  <si>
    <t xml:space="preserve">1220x2440</t>
  </si>
  <si>
    <t xml:space="preserve">Theo diện tích, chưa tối ưu sơ đồ cắt</t>
  </si>
  <si>
    <t xml:space="preserve">THÉP</t>
  </si>
  <si>
    <t xml:space="preserve">NHÔM</t>
  </si>
  <si>
    <t xml:space="preserve">KÍNH</t>
  </si>
  <si>
    <t xml:space="preserve">Đặt cắt theo kích thước: cửa 2011x1176, vách 2139x724</t>
  </si>
  <si>
    <t xml:space="preserve">VÍT &amp; TÁN CẤY BẮT VÁCH</t>
  </si>
  <si>
    <t xml:space="preserve">Mã NCC / link</t>
  </si>
  <si>
    <t xml:space="preserve">LINH KIỆN MUA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</si>
</sst>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#"/>
    <numFmt numFmtId="166" formatCode="0.00"/>
    <numFmt numFmtId="167" formatCode="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DCE3EC"/>
        <bgColor rgb="FFE2E2E2"/>
      </patternFill>
    </fill>
    <fill>
      <patternFill patternType="solid">
        <fgColor rgb="FFE2E2E2"/>
        <bgColor rgb="FFDCE3EC"/>
      </patternFill>
    </fill>
    <fill>
      <patternFill patternType="solid">
        <fgColor rgb="FFFFE699"/>
        <bgColor rgb="FFFFF2CC"/>
      </patternFill>
    </fill>
    <fill>
      <patternFill patternType="solid">
        <fgColor rgb="FFF3E5D0"/>
        <bgColor rgb="FFE2E2E2"/>
      </patternFill>
    </fill>
    <fill>
      <patternFill patternType="solid">
        <fgColor rgb="FFD9D9D9"/>
        <bgColor rgb="FFE2E2E2"/>
      </patternFill>
    </fill>
    <fill>
      <patternFill patternType="solid">
        <fgColor rgb="FFFFF2CC"/>
        <bgColor rgb="FFF3E5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3B4C"/>
          <bgColor rgb="FF000000"/>
        </patternFill>
      </fill>
    </dxf>
    <dxf>
      <fill>
        <patternFill patternType="solid">
          <fgColor rgb="FFDCE3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F3E5D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2E2"/>
      <rgbColor rgb="FFFFE699"/>
      <rgbColor rgb="FF99CCFF"/>
      <rgbColor rgb="FFFF99CC"/>
      <rgbColor rgb="FFCC99FF"/>
      <rgbColor rgb="FFF3E5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/>
      <c r="F5" s="4" t="s">
        <v>5</v>
      </c>
      <c r="G5" s="4"/>
      <c r="H5" s="4"/>
    </row>
    <row r="6" customFormat="false" ht="15" hidden="false" customHeight="true" outlineLevel="0" collapsed="false">
      <c r="A6" s="5" t="s">
        <v>6</v>
      </c>
      <c r="B6" s="5"/>
      <c r="C6" s="6" t="s">
        <v>7</v>
      </c>
      <c r="D6" s="6"/>
      <c r="E6" s="6"/>
      <c r="F6" s="6" t="s">
        <v>8</v>
      </c>
      <c r="G6" s="6"/>
      <c r="H6" s="6"/>
    </row>
    <row r="7" customFormat="false" ht="15" hidden="false" customHeight="true" outlineLevel="0" collapsed="false">
      <c r="A7" s="5" t="s">
        <v>9</v>
      </c>
      <c r="B7" s="5"/>
      <c r="C7" s="6" t="s">
        <v>10</v>
      </c>
      <c r="D7" s="6"/>
      <c r="E7" s="6"/>
      <c r="F7" s="6" t="s">
        <v>11</v>
      </c>
      <c r="G7" s="6"/>
      <c r="H7" s="6"/>
    </row>
    <row r="8" customFormat="false" ht="15" hidden="false" customHeight="true" outlineLevel="0" collapsed="false">
      <c r="A8" s="5" t="s">
        <v>12</v>
      </c>
      <c r="B8" s="5"/>
      <c r="C8" s="6" t="s">
        <v>13</v>
      </c>
      <c r="D8" s="6"/>
      <c r="E8" s="6"/>
      <c r="F8" s="6"/>
      <c r="G8" s="6"/>
      <c r="H8" s="6"/>
    </row>
    <row r="9" customFormat="false" ht="15" hidden="false" customHeight="true" outlineLevel="0" collapsed="false">
      <c r="A9" s="5" t="s">
        <v>14</v>
      </c>
      <c r="B9" s="5"/>
      <c r="C9" s="6" t="s">
        <v>15</v>
      </c>
      <c r="D9" s="6"/>
      <c r="E9" s="6"/>
      <c r="F9" s="6" t="s">
        <v>16</v>
      </c>
      <c r="G9" s="6"/>
      <c r="H9" s="6"/>
    </row>
    <row r="10" customFormat="false" ht="15" hidden="false" customHeight="true" outlineLevel="0" collapsed="false">
      <c r="A10" s="5" t="s">
        <v>17</v>
      </c>
      <c r="B10" s="5"/>
      <c r="C10" s="6" t="s">
        <v>18</v>
      </c>
      <c r="D10" s="6"/>
      <c r="E10" s="6"/>
      <c r="F10" s="6" t="s">
        <v>19</v>
      </c>
      <c r="G10" s="6"/>
      <c r="H10" s="6"/>
    </row>
    <row r="11" customFormat="false" ht="15" hidden="false" customHeight="true" outlineLevel="0" collapsed="false">
      <c r="A11" s="5" t="s">
        <v>20</v>
      </c>
      <c r="B11" s="5"/>
      <c r="C11" s="6" t="s">
        <v>21</v>
      </c>
      <c r="D11" s="6"/>
      <c r="E11" s="6"/>
      <c r="F11" s="6"/>
      <c r="G11" s="6"/>
      <c r="H11" s="6"/>
    </row>
    <row r="12" customFormat="false" ht="15" hidden="false" customHeight="true" outlineLevel="0" collapsed="false">
      <c r="A12" s="5" t="s">
        <v>22</v>
      </c>
      <c r="B12" s="5"/>
      <c r="C12" s="6" t="s">
        <v>23</v>
      </c>
      <c r="D12" s="6"/>
      <c r="E12" s="6"/>
      <c r="F12" s="6" t="s">
        <v>24</v>
      </c>
      <c r="G12" s="6"/>
      <c r="H12" s="6"/>
    </row>
    <row r="13" customFormat="false" ht="15" hidden="false" customHeight="true" outlineLevel="0" collapsed="false">
      <c r="A13" s="5" t="s">
        <v>25</v>
      </c>
      <c r="B13" s="5"/>
      <c r="C13" s="6" t="s">
        <v>26</v>
      </c>
      <c r="D13" s="6"/>
      <c r="E13" s="6"/>
      <c r="F13" s="6"/>
      <c r="G13" s="6"/>
      <c r="H13" s="6"/>
    </row>
    <row r="14" customFormat="false" ht="23.85" hidden="false" customHeight="true" outlineLevel="0" collapsed="false">
      <c r="A14" s="5" t="s">
        <v>27</v>
      </c>
      <c r="B14" s="5"/>
      <c r="C14" s="6" t="s">
        <v>28</v>
      </c>
      <c r="D14" s="6"/>
      <c r="E14" s="6"/>
      <c r="F14" s="6" t="s">
        <v>29</v>
      </c>
      <c r="G14" s="6"/>
      <c r="H14" s="6"/>
    </row>
    <row r="15" customFormat="false" ht="15" hidden="false" customHeight="true" outlineLevel="0" collapsed="false">
      <c r="A15" s="5" t="s">
        <v>30</v>
      </c>
      <c r="B15" s="5"/>
      <c r="C15" s="6" t="s">
        <v>31</v>
      </c>
      <c r="D15" s="6"/>
      <c r="E15" s="6"/>
      <c r="F15" s="6" t="s">
        <v>32</v>
      </c>
      <c r="G15" s="6"/>
      <c r="H15" s="6"/>
    </row>
    <row r="16" customFormat="false" ht="15" hidden="false" customHeight="true" outlineLevel="0" collapsed="false">
      <c r="A16" s="5" t="s">
        <v>33</v>
      </c>
      <c r="B16" s="5"/>
      <c r="C16" s="6" t="s">
        <v>34</v>
      </c>
      <c r="D16" s="6"/>
      <c r="E16" s="6"/>
      <c r="F16" s="6" t="s">
        <v>35</v>
      </c>
      <c r="G16" s="6"/>
      <c r="H16" s="6"/>
    </row>
    <row r="17" customFormat="false" ht="15" hidden="false" customHeight="true" outlineLevel="0" collapsed="false">
      <c r="A17" s="5" t="s">
        <v>36</v>
      </c>
      <c r="B17" s="5"/>
      <c r="C17" s="6" t="s">
        <v>37</v>
      </c>
      <c r="D17" s="6"/>
      <c r="E17" s="6"/>
      <c r="F17" s="6" t="s">
        <v>38</v>
      </c>
      <c r="G17" s="6"/>
      <c r="H17" s="6"/>
    </row>
    <row r="19" customFormat="false" ht="15" hidden="false" customHeight="false" outlineLevel="0" collapsed="false">
      <c r="A19" s="3" t="s">
        <v>39</v>
      </c>
    </row>
    <row r="20" customFormat="false" ht="15" hidden="false" customHeight="false" outlineLevel="0" collapsed="false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</row>
    <row r="21" customFormat="false" ht="15" hidden="false" customHeight="false" outlineLevel="0" collapsed="false">
      <c r="A21" s="7" t="s">
        <v>48</v>
      </c>
      <c r="B21" s="7"/>
      <c r="C21" s="7"/>
      <c r="D21" s="7"/>
      <c r="E21" s="7"/>
      <c r="F21" s="7"/>
      <c r="G21" s="7"/>
      <c r="H21" s="7"/>
    </row>
    <row r="22" customFormat="false" ht="23.85" hidden="false" customHeight="false" outlineLevel="0" collapsed="false">
      <c r="A22" s="8" t="n">
        <v>1</v>
      </c>
      <c r="B22" s="5" t="s">
        <v>49</v>
      </c>
      <c r="C22" s="8" t="s">
        <v>50</v>
      </c>
      <c r="D22" s="8" t="s">
        <v>51</v>
      </c>
      <c r="E22" s="6" t="s">
        <v>52</v>
      </c>
      <c r="F22" s="6" t="s">
        <v>53</v>
      </c>
      <c r="G22" s="6" t="s">
        <v>54</v>
      </c>
      <c r="H22" s="6" t="s">
        <v>55</v>
      </c>
    </row>
    <row r="23" customFormat="false" ht="15" hidden="false" customHeight="false" outlineLevel="0" collapsed="false">
      <c r="A23" s="8" t="n">
        <v>2</v>
      </c>
      <c r="B23" s="5" t="s">
        <v>56</v>
      </c>
      <c r="C23" s="8" t="s">
        <v>57</v>
      </c>
      <c r="D23" s="8" t="s">
        <v>58</v>
      </c>
      <c r="E23" s="6" t="s">
        <v>59</v>
      </c>
      <c r="F23" s="6" t="s">
        <v>60</v>
      </c>
      <c r="G23" s="6" t="s">
        <v>61</v>
      </c>
      <c r="H23" s="6" t="s">
        <v>62</v>
      </c>
    </row>
    <row r="24" customFormat="false" ht="15" hidden="false" customHeight="false" outlineLevel="0" collapsed="false">
      <c r="A24" s="8" t="n">
        <v>3</v>
      </c>
      <c r="B24" s="5" t="s">
        <v>63</v>
      </c>
      <c r="C24" s="8" t="s">
        <v>64</v>
      </c>
      <c r="D24" s="8" t="s">
        <v>65</v>
      </c>
      <c r="E24" s="6" t="s">
        <v>66</v>
      </c>
      <c r="F24" s="6" t="s">
        <v>67</v>
      </c>
      <c r="G24" s="6" t="s">
        <v>68</v>
      </c>
      <c r="H24" s="6" t="s">
        <v>69</v>
      </c>
    </row>
    <row r="25" customFormat="false" ht="23.85" hidden="false" customHeight="false" outlineLevel="0" collapsed="false">
      <c r="A25" s="8" t="n">
        <v>4</v>
      </c>
      <c r="B25" s="5" t="s">
        <v>70</v>
      </c>
      <c r="C25" s="8" t="s">
        <v>71</v>
      </c>
      <c r="D25" s="8" t="s">
        <v>51</v>
      </c>
      <c r="E25" s="6" t="s">
        <v>72</v>
      </c>
      <c r="F25" s="6" t="s">
        <v>73</v>
      </c>
      <c r="G25" s="6" t="s">
        <v>74</v>
      </c>
      <c r="H25" s="6" t="s">
        <v>75</v>
      </c>
    </row>
    <row r="26" customFormat="false" ht="23.85" hidden="false" customHeight="false" outlineLevel="0" collapsed="false">
      <c r="A26" s="8" t="n">
        <v>5</v>
      </c>
      <c r="B26" s="5" t="s">
        <v>76</v>
      </c>
      <c r="C26" s="8" t="s">
        <v>77</v>
      </c>
      <c r="D26" s="8" t="s">
        <v>51</v>
      </c>
      <c r="E26" s="6" t="s">
        <v>72</v>
      </c>
      <c r="F26" s="6" t="s">
        <v>73</v>
      </c>
      <c r="G26" s="6" t="s">
        <v>74</v>
      </c>
      <c r="H26" s="6" t="s">
        <v>78</v>
      </c>
    </row>
    <row r="27" customFormat="false" ht="23.85" hidden="false" customHeight="false" outlineLevel="0" collapsed="false">
      <c r="A27" s="8" t="n">
        <v>6</v>
      </c>
      <c r="B27" s="5" t="s">
        <v>79</v>
      </c>
      <c r="C27" s="8" t="s">
        <v>80</v>
      </c>
      <c r="D27" s="8" t="s">
        <v>51</v>
      </c>
      <c r="E27" s="6" t="s">
        <v>81</v>
      </c>
      <c r="F27" s="6" t="s">
        <v>73</v>
      </c>
      <c r="G27" s="6" t="s">
        <v>74</v>
      </c>
      <c r="H27" s="6" t="s">
        <v>82</v>
      </c>
    </row>
    <row r="28" customFormat="false" ht="35.05" hidden="false" customHeight="false" outlineLevel="0" collapsed="false">
      <c r="A28" s="8" t="n">
        <v>7</v>
      </c>
      <c r="B28" s="5" t="s">
        <v>83</v>
      </c>
      <c r="C28" s="8" t="s">
        <v>84</v>
      </c>
      <c r="D28" s="8" t="s">
        <v>51</v>
      </c>
      <c r="E28" s="6" t="s">
        <v>85</v>
      </c>
      <c r="F28" s="6" t="s">
        <v>73</v>
      </c>
      <c r="G28" s="6" t="s">
        <v>86</v>
      </c>
      <c r="H28" s="6" t="s">
        <v>87</v>
      </c>
    </row>
    <row r="29" customFormat="false" ht="23.85" hidden="false" customHeight="false" outlineLevel="0" collapsed="false">
      <c r="A29" s="8" t="n">
        <v>8</v>
      </c>
      <c r="B29" s="5" t="s">
        <v>88</v>
      </c>
      <c r="C29" s="8" t="s">
        <v>89</v>
      </c>
      <c r="D29" s="8" t="s">
        <v>51</v>
      </c>
      <c r="E29" s="6" t="s">
        <v>81</v>
      </c>
      <c r="F29" s="6" t="s">
        <v>73</v>
      </c>
      <c r="G29" s="6" t="s">
        <v>74</v>
      </c>
      <c r="H29" s="6" t="s">
        <v>90</v>
      </c>
    </row>
    <row r="30" customFormat="false" ht="23.85" hidden="false" customHeight="false" outlineLevel="0" collapsed="false">
      <c r="A30" s="8" t="n">
        <v>9</v>
      </c>
      <c r="B30" s="5" t="s">
        <v>91</v>
      </c>
      <c r="C30" s="8" t="s">
        <v>92</v>
      </c>
      <c r="D30" s="8" t="s">
        <v>51</v>
      </c>
      <c r="E30" s="6" t="s">
        <v>93</v>
      </c>
      <c r="F30" s="6" t="s">
        <v>73</v>
      </c>
      <c r="G30" s="6" t="s">
        <v>94</v>
      </c>
      <c r="H30" s="6" t="s">
        <v>95</v>
      </c>
    </row>
    <row r="31" customFormat="false" ht="15" hidden="false" customHeight="false" outlineLevel="0" collapsed="false">
      <c r="A31" s="7" t="s">
        <v>96</v>
      </c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8" t="n">
        <v>10</v>
      </c>
      <c r="B32" s="5" t="s">
        <v>97</v>
      </c>
      <c r="C32" s="8" t="s">
        <v>98</v>
      </c>
      <c r="D32" s="8" t="s">
        <v>51</v>
      </c>
      <c r="E32" s="6" t="s">
        <v>99</v>
      </c>
      <c r="F32" s="6" t="s">
        <v>100</v>
      </c>
      <c r="G32" s="6" t="s">
        <v>101</v>
      </c>
      <c r="H32" s="6"/>
    </row>
    <row r="33" customFormat="false" ht="23.85" hidden="false" customHeight="false" outlineLevel="0" collapsed="false">
      <c r="A33" s="8" t="n">
        <v>11</v>
      </c>
      <c r="B33" s="5" t="s">
        <v>102</v>
      </c>
      <c r="C33" s="8" t="s">
        <v>103</v>
      </c>
      <c r="D33" s="8" t="s">
        <v>51</v>
      </c>
      <c r="E33" s="6" t="s">
        <v>104</v>
      </c>
      <c r="F33" s="6" t="s">
        <v>100</v>
      </c>
      <c r="G33" s="6" t="s">
        <v>105</v>
      </c>
      <c r="H33" s="6"/>
    </row>
    <row r="34" customFormat="false" ht="15" hidden="false" customHeight="false" outlineLevel="0" collapsed="false">
      <c r="A34" s="8" t="n">
        <v>12</v>
      </c>
      <c r="B34" s="5" t="s">
        <v>106</v>
      </c>
      <c r="C34" s="8" t="s">
        <v>107</v>
      </c>
      <c r="D34" s="8" t="s">
        <v>51</v>
      </c>
      <c r="E34" s="6" t="s">
        <v>108</v>
      </c>
      <c r="F34" s="6" t="s">
        <v>100</v>
      </c>
      <c r="G34" s="6" t="s">
        <v>109</v>
      </c>
      <c r="H34" s="6"/>
    </row>
    <row r="35" customFormat="false" ht="15" hidden="false" customHeight="false" outlineLevel="0" collapsed="false">
      <c r="A35" s="8" t="n">
        <v>13</v>
      </c>
      <c r="B35" s="5" t="s">
        <v>110</v>
      </c>
      <c r="C35" s="8" t="s">
        <v>111</v>
      </c>
      <c r="D35" s="8" t="s">
        <v>51</v>
      </c>
      <c r="E35" s="6" t="s">
        <v>112</v>
      </c>
      <c r="F35" s="6" t="s">
        <v>113</v>
      </c>
      <c r="G35" s="6" t="s">
        <v>114</v>
      </c>
      <c r="H35" s="6" t="s">
        <v>115</v>
      </c>
    </row>
    <row r="36" customFormat="false" ht="15" hidden="false" customHeight="false" outlineLevel="0" collapsed="false">
      <c r="A36" s="8" t="n">
        <v>14</v>
      </c>
      <c r="B36" s="5" t="s">
        <v>116</v>
      </c>
      <c r="C36" s="8" t="s">
        <v>117</v>
      </c>
      <c r="D36" s="8" t="s">
        <v>51</v>
      </c>
      <c r="E36" s="6" t="s">
        <v>118</v>
      </c>
      <c r="F36" s="6" t="s">
        <v>113</v>
      </c>
      <c r="G36" s="6" t="s">
        <v>119</v>
      </c>
      <c r="H36" s="6"/>
    </row>
    <row r="37" customFormat="false" ht="15" hidden="false" customHeight="false" outlineLevel="0" collapsed="false">
      <c r="A37" s="7" t="s">
        <v>120</v>
      </c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8" t="n">
        <v>15</v>
      </c>
      <c r="B38" s="5" t="s">
        <v>121</v>
      </c>
      <c r="C38" s="8" t="s">
        <v>57</v>
      </c>
      <c r="D38" s="8" t="s">
        <v>122</v>
      </c>
      <c r="E38" s="6" t="s">
        <v>123</v>
      </c>
      <c r="F38" s="6" t="s">
        <v>124</v>
      </c>
      <c r="G38" s="6" t="s">
        <v>125</v>
      </c>
      <c r="H38" s="6" t="s">
        <v>126</v>
      </c>
    </row>
    <row r="39" customFormat="false" ht="15" hidden="false" customHeight="false" outlineLevel="0" collapsed="false">
      <c r="A39" s="8" t="n">
        <v>16</v>
      </c>
      <c r="B39" s="5" t="s">
        <v>127</v>
      </c>
      <c r="C39" s="8" t="s">
        <v>57</v>
      </c>
      <c r="D39" s="8" t="s">
        <v>128</v>
      </c>
      <c r="E39" s="6" t="s">
        <v>129</v>
      </c>
      <c r="F39" s="6" t="s">
        <v>124</v>
      </c>
      <c r="G39" s="6" t="s">
        <v>130</v>
      </c>
      <c r="H39" s="6" t="s">
        <v>131</v>
      </c>
    </row>
    <row r="40" customFormat="false" ht="15" hidden="false" customHeight="false" outlineLevel="0" collapsed="false">
      <c r="A40" s="8" t="n">
        <v>17</v>
      </c>
      <c r="B40" s="5" t="s">
        <v>132</v>
      </c>
      <c r="C40" s="8" t="s">
        <v>57</v>
      </c>
      <c r="D40" s="8" t="s">
        <v>133</v>
      </c>
      <c r="E40" s="6" t="s">
        <v>134</v>
      </c>
      <c r="F40" s="6" t="s">
        <v>124</v>
      </c>
      <c r="G40" s="6" t="s">
        <v>135</v>
      </c>
      <c r="H40" s="6"/>
    </row>
    <row r="41" customFormat="false" ht="15" hidden="false" customHeight="false" outlineLevel="0" collapsed="false">
      <c r="A41" s="8" t="n">
        <v>18</v>
      </c>
      <c r="B41" s="5" t="s">
        <v>136</v>
      </c>
      <c r="C41" s="8" t="s">
        <v>57</v>
      </c>
      <c r="D41" s="8" t="s">
        <v>133</v>
      </c>
      <c r="E41" s="6" t="s">
        <v>137</v>
      </c>
      <c r="F41" s="6" t="s">
        <v>124</v>
      </c>
      <c r="G41" s="6" t="s">
        <v>138</v>
      </c>
      <c r="H41" s="6"/>
    </row>
    <row r="42" customFormat="false" ht="15" hidden="false" customHeight="false" outlineLevel="0" collapsed="false">
      <c r="A42" s="8" t="n">
        <v>19</v>
      </c>
      <c r="B42" s="5" t="s">
        <v>139</v>
      </c>
      <c r="C42" s="8" t="s">
        <v>140</v>
      </c>
      <c r="D42" s="8" t="s">
        <v>51</v>
      </c>
      <c r="E42" s="6" t="s">
        <v>141</v>
      </c>
      <c r="F42" s="6" t="s">
        <v>142</v>
      </c>
      <c r="G42" s="6" t="s">
        <v>143</v>
      </c>
      <c r="H42" s="6" t="s">
        <v>144</v>
      </c>
    </row>
  </sheetData>
  <mergeCells count="42">
    <mergeCell ref="A5:B5"/>
    <mergeCell ref="C5:E5"/>
    <mergeCell ref="F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A12:B12"/>
    <mergeCell ref="C12:E12"/>
    <mergeCell ref="F12:H12"/>
    <mergeCell ref="A13:B13"/>
    <mergeCell ref="C13:E13"/>
    <mergeCell ref="F13:H13"/>
    <mergeCell ref="A14:B14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  <mergeCell ref="A21:H21"/>
    <mergeCell ref="A31:H31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6"/>
    <col collapsed="false" customWidth="true" hidden="false" outlineLevel="0" max="2" min="2" style="9" width="9"/>
    <col collapsed="false" customWidth="true" hidden="false" outlineLevel="0" max="3" min="3" style="9" width="22"/>
    <col collapsed="false" customWidth="true" hidden="false" outlineLevel="0" max="4" min="4" style="9" width="9"/>
    <col collapsed="false" customWidth="true" hidden="false" outlineLevel="0" max="5" min="5" style="9" width="26"/>
    <col collapsed="false" customWidth="true" hidden="false" outlineLevel="0" max="7" min="6" style="9" width="10"/>
    <col collapsed="false" customWidth="true" hidden="false" outlineLevel="0" max="9" min="8" style="9" width="9"/>
    <col collapsed="false" customWidth="true" hidden="false" outlineLevel="0" max="10" min="10" style="9" width="11"/>
    <col collapsed="false" customWidth="true" hidden="false" outlineLevel="0" max="11" min="11" style="9" width="12"/>
    <col collapsed="false" customWidth="true" hidden="false" outlineLevel="0" max="12" min="12" style="9" width="44"/>
  </cols>
  <sheetData>
    <row r="1" customFormat="false" ht="17.25" hidden="false" customHeight="true" outlineLevel="0" collapsed="false">
      <c r="A1" s="10" t="s">
        <v>145</v>
      </c>
    </row>
    <row r="2" customFormat="false" ht="15" hidden="false" customHeight="true" outlineLevel="0" collapsed="false">
      <c r="A2" s="11" t="s">
        <v>146</v>
      </c>
    </row>
    <row r="4" customFormat="false" ht="23.25" hidden="false" customHeight="true" outlineLevel="0" collapsed="false">
      <c r="A4" s="4" t="s">
        <v>40</v>
      </c>
      <c r="B4" s="4" t="s">
        <v>42</v>
      </c>
      <c r="C4" s="4" t="s">
        <v>3</v>
      </c>
      <c r="D4" s="4" t="s">
        <v>147</v>
      </c>
      <c r="E4" s="4" t="s">
        <v>148</v>
      </c>
      <c r="F4" s="4" t="s">
        <v>149</v>
      </c>
      <c r="G4" s="4" t="s">
        <v>150</v>
      </c>
      <c r="H4" s="4" t="s">
        <v>151</v>
      </c>
      <c r="I4" s="4" t="s">
        <v>152</v>
      </c>
      <c r="J4" s="4" t="s">
        <v>153</v>
      </c>
      <c r="K4" s="4" t="s">
        <v>154</v>
      </c>
      <c r="L4" s="4" t="s">
        <v>5</v>
      </c>
    </row>
    <row r="5" customFormat="false" ht="15" hidden="false" customHeight="true" outlineLevel="0" collapsed="false">
      <c r="A5" s="12" t="s">
        <v>155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8" t="n">
        <v>1</v>
      </c>
      <c r="B6" s="8" t="s">
        <v>156</v>
      </c>
      <c r="C6" s="6" t="s">
        <v>49</v>
      </c>
      <c r="D6" s="13" t="s">
        <v>60</v>
      </c>
      <c r="E6" s="6" t="s">
        <v>157</v>
      </c>
      <c r="F6" s="14" t="n">
        <v>2400</v>
      </c>
      <c r="G6" s="14" t="n">
        <v>100</v>
      </c>
      <c r="H6" s="14" t="n">
        <v>50</v>
      </c>
      <c r="I6" s="8" t="n">
        <v>1</v>
      </c>
      <c r="J6" s="15" t="n">
        <f aca="false">F6*I6/1000</f>
        <v>2.4</v>
      </c>
      <c r="K6" s="15"/>
      <c r="L6" s="6"/>
    </row>
    <row r="7" customFormat="false" ht="15" hidden="false" customHeight="true" outlineLevel="0" collapsed="false">
      <c r="A7" s="8" t="n">
        <v>2</v>
      </c>
      <c r="B7" s="8" t="s">
        <v>158</v>
      </c>
      <c r="C7" s="6" t="s">
        <v>49</v>
      </c>
      <c r="D7" s="13" t="s">
        <v>60</v>
      </c>
      <c r="E7" s="6" t="s">
        <v>157</v>
      </c>
      <c r="F7" s="14" t="n">
        <v>2020</v>
      </c>
      <c r="G7" s="14" t="n">
        <v>100</v>
      </c>
      <c r="H7" s="14" t="n">
        <v>50</v>
      </c>
      <c r="I7" s="8" t="n">
        <v>1</v>
      </c>
      <c r="J7" s="15" t="n">
        <f aca="false">F7*I7/1000</f>
        <v>2.02</v>
      </c>
      <c r="K7" s="15"/>
      <c r="L7" s="6"/>
    </row>
    <row r="8" customFormat="false" ht="15" hidden="false" customHeight="true" outlineLevel="0" collapsed="false">
      <c r="A8" s="8" t="n">
        <v>3</v>
      </c>
      <c r="B8" s="8" t="s">
        <v>159</v>
      </c>
      <c r="C8" s="6" t="s">
        <v>49</v>
      </c>
      <c r="D8" s="13" t="s">
        <v>60</v>
      </c>
      <c r="E8" s="6" t="s">
        <v>157</v>
      </c>
      <c r="F8" s="14" t="n">
        <v>1370</v>
      </c>
      <c r="G8" s="14" t="n">
        <v>100</v>
      </c>
      <c r="H8" s="14" t="n">
        <v>50</v>
      </c>
      <c r="I8" s="8" t="n">
        <v>2</v>
      </c>
      <c r="J8" s="15" t="n">
        <f aca="false">F8*I8/1000</f>
        <v>2.74</v>
      </c>
      <c r="K8" s="15"/>
      <c r="L8" s="6"/>
    </row>
    <row r="9" customFormat="false" ht="15" hidden="false" customHeight="true" outlineLevel="0" collapsed="false">
      <c r="A9" s="8" t="n">
        <v>4</v>
      </c>
      <c r="B9" s="8" t="s">
        <v>160</v>
      </c>
      <c r="C9" s="6" t="s">
        <v>49</v>
      </c>
      <c r="D9" s="13" t="s">
        <v>60</v>
      </c>
      <c r="E9" s="6" t="s">
        <v>157</v>
      </c>
      <c r="F9" s="14" t="n">
        <v>269</v>
      </c>
      <c r="G9" s="14" t="n">
        <v>100</v>
      </c>
      <c r="H9" s="14" t="n">
        <v>50</v>
      </c>
      <c r="I9" s="8" t="n">
        <v>1</v>
      </c>
      <c r="J9" s="15" t="n">
        <f aca="false">F9*I9/1000</f>
        <v>0.269</v>
      </c>
      <c r="K9" s="15"/>
      <c r="L9" s="6"/>
    </row>
    <row r="10" customFormat="false" ht="15" hidden="false" customHeight="true" outlineLevel="0" collapsed="false">
      <c r="A10" s="8" t="n">
        <v>5</v>
      </c>
      <c r="B10" s="8" t="s">
        <v>161</v>
      </c>
      <c r="C10" s="6" t="s">
        <v>49</v>
      </c>
      <c r="D10" s="13" t="s">
        <v>60</v>
      </c>
      <c r="E10" s="6" t="s">
        <v>157</v>
      </c>
      <c r="F10" s="14" t="n">
        <v>212</v>
      </c>
      <c r="G10" s="14" t="n">
        <v>100</v>
      </c>
      <c r="H10" s="14" t="n">
        <v>50</v>
      </c>
      <c r="I10" s="8" t="n">
        <v>1</v>
      </c>
      <c r="J10" s="15" t="n">
        <f aca="false">F10*I10/1000</f>
        <v>0.212</v>
      </c>
      <c r="K10" s="15"/>
      <c r="L10" s="6"/>
    </row>
    <row r="11" customFormat="false" ht="15" hidden="false" customHeight="true" outlineLevel="0" collapsed="false">
      <c r="A11" s="8" t="n">
        <v>6</v>
      </c>
      <c r="B11" s="8" t="s">
        <v>162</v>
      </c>
      <c r="C11" s="6" t="s">
        <v>49</v>
      </c>
      <c r="D11" s="13" t="s">
        <v>60</v>
      </c>
      <c r="E11" s="6" t="s">
        <v>157</v>
      </c>
      <c r="F11" s="14" t="n">
        <v>150</v>
      </c>
      <c r="G11" s="14" t="n">
        <v>100</v>
      </c>
      <c r="H11" s="14" t="n">
        <v>50</v>
      </c>
      <c r="I11" s="8" t="n">
        <v>2</v>
      </c>
      <c r="J11" s="15" t="n">
        <f aca="false">F11*I11/1000</f>
        <v>0.3</v>
      </c>
      <c r="K11" s="15"/>
      <c r="L11" s="6"/>
    </row>
    <row r="12" customFormat="false" ht="15" hidden="false" customHeight="true" outlineLevel="0" collapsed="false">
      <c r="A12" s="8" t="n">
        <v>7</v>
      </c>
      <c r="B12" s="8" t="s">
        <v>163</v>
      </c>
      <c r="C12" s="6" t="s">
        <v>49</v>
      </c>
      <c r="D12" s="13" t="s">
        <v>60</v>
      </c>
      <c r="E12" s="6" t="s">
        <v>157</v>
      </c>
      <c r="F12" s="14" t="n">
        <v>123.5</v>
      </c>
      <c r="G12" s="14" t="n">
        <v>100</v>
      </c>
      <c r="H12" s="14" t="n">
        <v>50</v>
      </c>
      <c r="I12" s="8" t="n">
        <v>1</v>
      </c>
      <c r="J12" s="15" t="n">
        <f aca="false">F12*I12/1000</f>
        <v>0.1235</v>
      </c>
      <c r="K12" s="15"/>
      <c r="L12" s="6"/>
    </row>
    <row r="13" customFormat="false" ht="15" hidden="false" customHeight="true" outlineLevel="0" collapsed="false">
      <c r="A13" s="8" t="n">
        <v>8</v>
      </c>
      <c r="B13" s="8" t="s">
        <v>164</v>
      </c>
      <c r="C13" s="6" t="s">
        <v>49</v>
      </c>
      <c r="D13" s="13" t="s">
        <v>60</v>
      </c>
      <c r="E13" s="6" t="s">
        <v>157</v>
      </c>
      <c r="F13" s="14" t="n">
        <v>76</v>
      </c>
      <c r="G13" s="14" t="n">
        <v>100</v>
      </c>
      <c r="H13" s="14" t="n">
        <v>50</v>
      </c>
      <c r="I13" s="8" t="n">
        <v>4</v>
      </c>
      <c r="J13" s="15" t="n">
        <f aca="false">F13*I13/1000</f>
        <v>0.304</v>
      </c>
      <c r="K13" s="15"/>
      <c r="L13" s="6" t="s">
        <v>165</v>
      </c>
    </row>
    <row r="14" customFormat="false" ht="15" hidden="false" customHeight="true" outlineLevel="0" collapsed="false">
      <c r="A14" s="8" t="n">
        <v>9</v>
      </c>
      <c r="B14" s="8" t="s">
        <v>166</v>
      </c>
      <c r="C14" s="6" t="s">
        <v>49</v>
      </c>
      <c r="D14" s="13" t="s">
        <v>60</v>
      </c>
      <c r="E14" s="6" t="s">
        <v>167</v>
      </c>
      <c r="F14" s="14" t="n">
        <v>137.5</v>
      </c>
      <c r="G14" s="14" t="n">
        <v>20</v>
      </c>
      <c r="H14" s="14" t="n">
        <v>20</v>
      </c>
      <c r="I14" s="8" t="n">
        <v>5</v>
      </c>
      <c r="J14" s="15" t="n">
        <f aca="false">F14*I14/1000</f>
        <v>0.6875</v>
      </c>
      <c r="K14" s="15"/>
      <c r="L14" s="6"/>
    </row>
    <row r="15" customFormat="false" ht="15" hidden="false" customHeight="true" outlineLevel="0" collapsed="false">
      <c r="A15" s="8" t="n">
        <v>10</v>
      </c>
      <c r="B15" s="8" t="s">
        <v>168</v>
      </c>
      <c r="C15" s="6" t="s">
        <v>49</v>
      </c>
      <c r="D15" s="13" t="s">
        <v>60</v>
      </c>
      <c r="E15" s="6" t="s">
        <v>169</v>
      </c>
      <c r="F15" s="14" t="n">
        <v>2400</v>
      </c>
      <c r="G15" s="14" t="n">
        <v>60</v>
      </c>
      <c r="H15" s="14" t="n">
        <v>30</v>
      </c>
      <c r="I15" s="8" t="n">
        <v>3</v>
      </c>
      <c r="J15" s="15" t="n">
        <f aca="false">F15*I15/1000</f>
        <v>7.2</v>
      </c>
      <c r="K15" s="15"/>
      <c r="L15" s="6"/>
    </row>
    <row r="16" customFormat="false" ht="15" hidden="false" customHeight="true" outlineLevel="0" collapsed="false">
      <c r="A16" s="8" t="n">
        <v>11</v>
      </c>
      <c r="B16" s="8" t="s">
        <v>170</v>
      </c>
      <c r="C16" s="6" t="s">
        <v>171</v>
      </c>
      <c r="D16" s="16" t="s">
        <v>172</v>
      </c>
      <c r="E16" s="6" t="s">
        <v>173</v>
      </c>
      <c r="F16" s="14" t="n">
        <v>1917</v>
      </c>
      <c r="G16" s="14" t="n">
        <v>204</v>
      </c>
      <c r="H16" s="14" t="n">
        <v>3</v>
      </c>
      <c r="I16" s="8" t="n">
        <v>1</v>
      </c>
      <c r="J16" s="15"/>
      <c r="K16" s="15" t="n">
        <f aca="false">F16*G16*I16/1000000</f>
        <v>0.391068</v>
      </c>
      <c r="L16" s="6" t="s">
        <v>174</v>
      </c>
    </row>
    <row r="17" customFormat="false" ht="15" hidden="false" customHeight="true" outlineLevel="0" collapsed="false">
      <c r="A17" s="8" t="n">
        <v>12</v>
      </c>
      <c r="B17" s="8" t="s">
        <v>175</v>
      </c>
      <c r="C17" s="6" t="s">
        <v>176</v>
      </c>
      <c r="D17" s="13" t="s">
        <v>60</v>
      </c>
      <c r="E17" s="6" t="s">
        <v>177</v>
      </c>
      <c r="F17" s="14" t="n">
        <v>40</v>
      </c>
      <c r="G17" s="14" t="n">
        <v>30</v>
      </c>
      <c r="H17" s="14" t="n">
        <v>4</v>
      </c>
      <c r="I17" s="8" t="n">
        <v>1</v>
      </c>
      <c r="J17" s="15"/>
      <c r="K17" s="15"/>
      <c r="L17" s="6"/>
    </row>
    <row r="18" customFormat="false" ht="15" hidden="false" customHeight="true" outlineLevel="0" collapsed="false">
      <c r="A18" s="8" t="n">
        <v>13</v>
      </c>
      <c r="B18" s="8" t="s">
        <v>178</v>
      </c>
      <c r="C18" s="6" t="s">
        <v>176</v>
      </c>
      <c r="D18" s="13" t="s">
        <v>60</v>
      </c>
      <c r="E18" s="6" t="s">
        <v>179</v>
      </c>
      <c r="F18" s="14" t="n">
        <v>60</v>
      </c>
      <c r="G18" s="14" t="n">
        <v>50</v>
      </c>
      <c r="H18" s="14" t="n">
        <v>36</v>
      </c>
      <c r="I18" s="8" t="n">
        <v>4</v>
      </c>
      <c r="J18" s="15"/>
      <c r="K18" s="15"/>
      <c r="L18" s="6"/>
    </row>
    <row r="19" customFormat="false" ht="15" hidden="false" customHeight="true" outlineLevel="0" collapsed="false">
      <c r="A19" s="12" t="s">
        <v>180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customFormat="false" ht="15" hidden="false" customHeight="true" outlineLevel="0" collapsed="false">
      <c r="A20" s="8" t="n">
        <v>14</v>
      </c>
      <c r="B20" s="8" t="s">
        <v>181</v>
      </c>
      <c r="C20" s="6" t="s">
        <v>63</v>
      </c>
      <c r="D20" s="17" t="s">
        <v>67</v>
      </c>
      <c r="E20" s="6" t="s">
        <v>182</v>
      </c>
      <c r="F20" s="14" t="n">
        <v>1429</v>
      </c>
      <c r="G20" s="14" t="n">
        <v>1184.5</v>
      </c>
      <c r="H20" s="14" t="n">
        <v>9</v>
      </c>
      <c r="I20" s="8" t="n">
        <v>2</v>
      </c>
      <c r="J20" s="15"/>
      <c r="K20" s="15" t="n">
        <f aca="false">F20*G20*I20/1000000</f>
        <v>3.385301</v>
      </c>
      <c r="L20" s="6"/>
    </row>
    <row r="21" customFormat="false" ht="15" hidden="false" customHeight="true" outlineLevel="0" collapsed="false">
      <c r="A21" s="12" t="s">
        <v>183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8" t="n">
        <v>15</v>
      </c>
      <c r="B22" s="8" t="s">
        <v>184</v>
      </c>
      <c r="C22" s="6" t="s">
        <v>185</v>
      </c>
      <c r="D22" s="17" t="s">
        <v>67</v>
      </c>
      <c r="E22" s="6" t="s">
        <v>186</v>
      </c>
      <c r="F22" s="14" t="n">
        <v>2169</v>
      </c>
      <c r="G22" s="14" t="n">
        <v>40</v>
      </c>
      <c r="H22" s="14" t="n">
        <v>40</v>
      </c>
      <c r="I22" s="8" t="n">
        <v>2</v>
      </c>
      <c r="J22" s="15" t="n">
        <f aca="false">F22*I22/1000</f>
        <v>4.338</v>
      </c>
      <c r="K22" s="15"/>
      <c r="L22" s="6"/>
    </row>
    <row r="23" customFormat="false" ht="15" hidden="false" customHeight="true" outlineLevel="0" collapsed="false">
      <c r="A23" s="8" t="n">
        <v>16</v>
      </c>
      <c r="B23" s="8" t="s">
        <v>187</v>
      </c>
      <c r="C23" s="6" t="s">
        <v>185</v>
      </c>
      <c r="D23" s="17" t="s">
        <v>67</v>
      </c>
      <c r="E23" s="6" t="s">
        <v>186</v>
      </c>
      <c r="F23" s="14" t="n">
        <v>1447</v>
      </c>
      <c r="G23" s="14" t="n">
        <v>40</v>
      </c>
      <c r="H23" s="14" t="n">
        <v>40</v>
      </c>
      <c r="I23" s="8" t="n">
        <v>2</v>
      </c>
      <c r="J23" s="15" t="n">
        <f aca="false">F23*I23/1000</f>
        <v>2.894</v>
      </c>
      <c r="K23" s="15"/>
      <c r="L23" s="6"/>
    </row>
    <row r="24" customFormat="false" ht="15" hidden="false" customHeight="true" outlineLevel="0" collapsed="false">
      <c r="A24" s="8" t="n">
        <v>17</v>
      </c>
      <c r="B24" s="8" t="s">
        <v>188</v>
      </c>
      <c r="C24" s="6" t="s">
        <v>185</v>
      </c>
      <c r="D24" s="17" t="s">
        <v>67</v>
      </c>
      <c r="E24" s="6" t="s">
        <v>186</v>
      </c>
      <c r="F24" s="14" t="n">
        <v>1367</v>
      </c>
      <c r="G24" s="14" t="n">
        <v>40</v>
      </c>
      <c r="H24" s="14" t="n">
        <v>40</v>
      </c>
      <c r="I24" s="8" t="n">
        <v>1</v>
      </c>
      <c r="J24" s="15" t="n">
        <f aca="false">F24*I24/1000</f>
        <v>1.367</v>
      </c>
      <c r="K24" s="15"/>
      <c r="L24" s="6"/>
    </row>
    <row r="25" customFormat="false" ht="15" hidden="false" customHeight="true" outlineLevel="0" collapsed="false">
      <c r="A25" s="8" t="n">
        <v>18</v>
      </c>
      <c r="B25" s="8" t="s">
        <v>189</v>
      </c>
      <c r="C25" s="6" t="s">
        <v>190</v>
      </c>
      <c r="D25" s="17" t="s">
        <v>67</v>
      </c>
      <c r="E25" s="6" t="s">
        <v>182</v>
      </c>
      <c r="F25" s="14" t="n">
        <v>2234</v>
      </c>
      <c r="G25" s="14" t="n">
        <v>715</v>
      </c>
      <c r="H25" s="14" t="n">
        <v>9</v>
      </c>
      <c r="I25" s="8" t="n">
        <v>2</v>
      </c>
      <c r="J25" s="15"/>
      <c r="K25" s="15" t="n">
        <f aca="false">F25*G25*I25/1000000</f>
        <v>3.19462</v>
      </c>
      <c r="L25" s="6"/>
    </row>
    <row r="26" customFormat="false" ht="15" hidden="false" customHeight="true" outlineLevel="0" collapsed="false">
      <c r="A26" s="8" t="n">
        <v>19</v>
      </c>
      <c r="B26" s="8" t="s">
        <v>191</v>
      </c>
      <c r="C26" s="6" t="s">
        <v>192</v>
      </c>
      <c r="D26" s="17" t="s">
        <v>67</v>
      </c>
      <c r="E26" s="6" t="s">
        <v>193</v>
      </c>
      <c r="F26" s="14" t="n">
        <v>2300</v>
      </c>
      <c r="G26" s="14" t="n">
        <v>276</v>
      </c>
      <c r="H26" s="14" t="n">
        <v>6</v>
      </c>
      <c r="I26" s="8" t="n">
        <v>1</v>
      </c>
      <c r="J26" s="15"/>
      <c r="K26" s="15" t="n">
        <f aca="false">F26*G26*I26/1000000</f>
        <v>0.6348</v>
      </c>
      <c r="L26" s="6" t="s">
        <v>194</v>
      </c>
    </row>
    <row r="27" customFormat="false" ht="15" hidden="false" customHeight="true" outlineLevel="0" collapsed="false">
      <c r="A27" s="8" t="n">
        <v>20</v>
      </c>
      <c r="B27" s="8" t="s">
        <v>195</v>
      </c>
      <c r="C27" s="6" t="s">
        <v>192</v>
      </c>
      <c r="D27" s="17" t="s">
        <v>67</v>
      </c>
      <c r="E27" s="6" t="s">
        <v>193</v>
      </c>
      <c r="F27" s="14" t="n">
        <v>2300</v>
      </c>
      <c r="G27" s="14" t="n">
        <v>1220</v>
      </c>
      <c r="H27" s="14" t="n">
        <v>6</v>
      </c>
      <c r="I27" s="8" t="n">
        <v>1</v>
      </c>
      <c r="J27" s="15"/>
      <c r="K27" s="15" t="n">
        <f aca="false">F27*G27*I27/1000000</f>
        <v>2.806</v>
      </c>
      <c r="L27" s="6" t="s">
        <v>194</v>
      </c>
    </row>
    <row r="28" customFormat="false" ht="15" hidden="false" customHeight="true" outlineLevel="0" collapsed="false">
      <c r="A28" s="8" t="n">
        <v>21</v>
      </c>
      <c r="B28" s="8" t="s">
        <v>196</v>
      </c>
      <c r="C28" s="6" t="s">
        <v>197</v>
      </c>
      <c r="D28" s="16" t="s">
        <v>172</v>
      </c>
      <c r="E28" s="6" t="s">
        <v>21</v>
      </c>
      <c r="F28" s="14" t="n">
        <v>2300</v>
      </c>
      <c r="G28" s="14" t="n">
        <v>276</v>
      </c>
      <c r="H28" s="14" t="n">
        <v>2</v>
      </c>
      <c r="I28" s="8" t="n">
        <v>1</v>
      </c>
      <c r="J28" s="15"/>
      <c r="K28" s="15" t="n">
        <f aca="false">F28*G28*I28/1000000</f>
        <v>0.6348</v>
      </c>
      <c r="L28" s="6" t="s">
        <v>198</v>
      </c>
    </row>
    <row r="29" customFormat="false" ht="15" hidden="false" customHeight="true" outlineLevel="0" collapsed="false">
      <c r="A29" s="8" t="n">
        <v>22</v>
      </c>
      <c r="B29" s="8" t="s">
        <v>199</v>
      </c>
      <c r="C29" s="6" t="s">
        <v>197</v>
      </c>
      <c r="D29" s="16" t="s">
        <v>172</v>
      </c>
      <c r="E29" s="6" t="s">
        <v>21</v>
      </c>
      <c r="F29" s="14" t="n">
        <v>2300</v>
      </c>
      <c r="G29" s="14" t="n">
        <v>1220</v>
      </c>
      <c r="H29" s="14" t="n">
        <v>2</v>
      </c>
      <c r="I29" s="8" t="n">
        <v>1</v>
      </c>
      <c r="J29" s="15"/>
      <c r="K29" s="15" t="n">
        <f aca="false">F29*G29*I29/1000000</f>
        <v>2.806</v>
      </c>
      <c r="L29" s="6" t="s">
        <v>198</v>
      </c>
    </row>
    <row r="30" customFormat="false" ht="15" hidden="false" customHeight="true" outlineLevel="0" collapsed="false">
      <c r="A30" s="12" t="s">
        <v>200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customFormat="false" ht="15" hidden="false" customHeight="true" outlineLevel="0" collapsed="false">
      <c r="A31" s="8" t="n">
        <v>23</v>
      </c>
      <c r="B31" s="8" t="s">
        <v>201</v>
      </c>
      <c r="C31" s="6" t="s">
        <v>185</v>
      </c>
      <c r="D31" s="17" t="s">
        <v>67</v>
      </c>
      <c r="E31" s="6" t="s">
        <v>186</v>
      </c>
      <c r="F31" s="14" t="n">
        <v>2169</v>
      </c>
      <c r="G31" s="14" t="n">
        <v>40</v>
      </c>
      <c r="H31" s="14" t="n">
        <v>40</v>
      </c>
      <c r="I31" s="8" t="n">
        <v>2</v>
      </c>
      <c r="J31" s="15" t="n">
        <f aca="false">F31*I31/1000</f>
        <v>4.338</v>
      </c>
      <c r="K31" s="15"/>
      <c r="L31" s="6"/>
    </row>
    <row r="32" customFormat="false" ht="15" hidden="false" customHeight="true" outlineLevel="0" collapsed="false">
      <c r="A32" s="8" t="n">
        <v>24</v>
      </c>
      <c r="B32" s="8" t="s">
        <v>202</v>
      </c>
      <c r="C32" s="6" t="s">
        <v>185</v>
      </c>
      <c r="D32" s="17" t="s">
        <v>67</v>
      </c>
      <c r="E32" s="6" t="s">
        <v>186</v>
      </c>
      <c r="F32" s="14" t="n">
        <v>1447</v>
      </c>
      <c r="G32" s="14" t="n">
        <v>40</v>
      </c>
      <c r="H32" s="14" t="n">
        <v>40</v>
      </c>
      <c r="I32" s="8" t="n">
        <v>2</v>
      </c>
      <c r="J32" s="15" t="n">
        <f aca="false">F32*I32/1000</f>
        <v>2.894</v>
      </c>
      <c r="K32" s="15"/>
      <c r="L32" s="6"/>
    </row>
    <row r="33" customFormat="false" ht="15" hidden="false" customHeight="true" outlineLevel="0" collapsed="false">
      <c r="A33" s="8" t="n">
        <v>25</v>
      </c>
      <c r="B33" s="8" t="s">
        <v>203</v>
      </c>
      <c r="C33" s="6" t="s">
        <v>185</v>
      </c>
      <c r="D33" s="17" t="s">
        <v>67</v>
      </c>
      <c r="E33" s="6" t="s">
        <v>186</v>
      </c>
      <c r="F33" s="14" t="n">
        <v>1367</v>
      </c>
      <c r="G33" s="14" t="n">
        <v>40</v>
      </c>
      <c r="H33" s="14" t="n">
        <v>40</v>
      </c>
      <c r="I33" s="8" t="n">
        <v>1</v>
      </c>
      <c r="J33" s="15" t="n">
        <f aca="false">F33*I33/1000</f>
        <v>1.367</v>
      </c>
      <c r="K33" s="15"/>
      <c r="L33" s="6"/>
    </row>
    <row r="34" customFormat="false" ht="15" hidden="false" customHeight="true" outlineLevel="0" collapsed="false">
      <c r="A34" s="8" t="n">
        <v>26</v>
      </c>
      <c r="B34" s="8" t="s">
        <v>204</v>
      </c>
      <c r="C34" s="6" t="s">
        <v>190</v>
      </c>
      <c r="D34" s="17" t="s">
        <v>67</v>
      </c>
      <c r="E34" s="6" t="s">
        <v>182</v>
      </c>
      <c r="F34" s="14" t="n">
        <v>2234</v>
      </c>
      <c r="G34" s="14" t="n">
        <v>715</v>
      </c>
      <c r="H34" s="14" t="n">
        <v>9</v>
      </c>
      <c r="I34" s="8" t="n">
        <v>2</v>
      </c>
      <c r="J34" s="15"/>
      <c r="K34" s="15" t="n">
        <f aca="false">F34*G34*I34/1000000</f>
        <v>3.19462</v>
      </c>
      <c r="L34" s="6"/>
    </row>
    <row r="35" customFormat="false" ht="15" hidden="false" customHeight="true" outlineLevel="0" collapsed="false">
      <c r="A35" s="8" t="n">
        <v>27</v>
      </c>
      <c r="B35" s="8" t="s">
        <v>205</v>
      </c>
      <c r="C35" s="6" t="s">
        <v>192</v>
      </c>
      <c r="D35" s="17" t="s">
        <v>67</v>
      </c>
      <c r="E35" s="6" t="s">
        <v>193</v>
      </c>
      <c r="F35" s="14" t="n">
        <v>2300</v>
      </c>
      <c r="G35" s="14" t="n">
        <v>1220</v>
      </c>
      <c r="H35" s="14" t="n">
        <v>6</v>
      </c>
      <c r="I35" s="8" t="n">
        <v>1</v>
      </c>
      <c r="J35" s="15"/>
      <c r="K35" s="15" t="n">
        <f aca="false">F35*G35*I35/1000000</f>
        <v>2.806</v>
      </c>
      <c r="L35" s="6" t="s">
        <v>194</v>
      </c>
    </row>
    <row r="36" customFormat="false" ht="15" hidden="false" customHeight="true" outlineLevel="0" collapsed="false">
      <c r="A36" s="8" t="n">
        <v>28</v>
      </c>
      <c r="B36" s="8" t="s">
        <v>206</v>
      </c>
      <c r="C36" s="6" t="s">
        <v>192</v>
      </c>
      <c r="D36" s="17" t="s">
        <v>67</v>
      </c>
      <c r="E36" s="6" t="s">
        <v>193</v>
      </c>
      <c r="F36" s="14" t="n">
        <v>2300</v>
      </c>
      <c r="G36" s="14" t="n">
        <v>276</v>
      </c>
      <c r="H36" s="14" t="n">
        <v>6</v>
      </c>
      <c r="I36" s="8" t="n">
        <v>1</v>
      </c>
      <c r="J36" s="15"/>
      <c r="K36" s="15" t="n">
        <f aca="false">F36*G36*I36/1000000</f>
        <v>0.6348</v>
      </c>
      <c r="L36" s="6" t="s">
        <v>194</v>
      </c>
    </row>
    <row r="37" customFormat="false" ht="15" hidden="false" customHeight="true" outlineLevel="0" collapsed="false">
      <c r="A37" s="8" t="n">
        <v>29</v>
      </c>
      <c r="B37" s="8" t="s">
        <v>207</v>
      </c>
      <c r="C37" s="6" t="s">
        <v>197</v>
      </c>
      <c r="D37" s="16" t="s">
        <v>172</v>
      </c>
      <c r="E37" s="6" t="s">
        <v>21</v>
      </c>
      <c r="F37" s="14" t="n">
        <v>2300</v>
      </c>
      <c r="G37" s="14" t="n">
        <v>276</v>
      </c>
      <c r="H37" s="14" t="n">
        <v>2</v>
      </c>
      <c r="I37" s="8" t="n">
        <v>1</v>
      </c>
      <c r="J37" s="15"/>
      <c r="K37" s="15" t="n">
        <f aca="false">F37*G37*I37/1000000</f>
        <v>0.6348</v>
      </c>
      <c r="L37" s="6" t="s">
        <v>198</v>
      </c>
    </row>
    <row r="38" customFormat="false" ht="15" hidden="false" customHeight="true" outlineLevel="0" collapsed="false">
      <c r="A38" s="8" t="n">
        <v>30</v>
      </c>
      <c r="B38" s="8" t="s">
        <v>208</v>
      </c>
      <c r="C38" s="6" t="s">
        <v>197</v>
      </c>
      <c r="D38" s="16" t="s">
        <v>172</v>
      </c>
      <c r="E38" s="6" t="s">
        <v>21</v>
      </c>
      <c r="F38" s="14" t="n">
        <v>2300</v>
      </c>
      <c r="G38" s="14" t="n">
        <v>1220</v>
      </c>
      <c r="H38" s="14" t="n">
        <v>2</v>
      </c>
      <c r="I38" s="8" t="n">
        <v>1</v>
      </c>
      <c r="J38" s="15"/>
      <c r="K38" s="15" t="n">
        <f aca="false">F38*G38*I38/1000000</f>
        <v>2.806</v>
      </c>
      <c r="L38" s="6" t="s">
        <v>198</v>
      </c>
    </row>
    <row r="39" customFormat="false" ht="15" hidden="false" customHeight="true" outlineLevel="0" collapsed="false">
      <c r="A39" s="12" t="s">
        <v>209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customFormat="false" ht="15" hidden="false" customHeight="true" outlineLevel="0" collapsed="false">
      <c r="A40" s="8" t="n">
        <v>31</v>
      </c>
      <c r="B40" s="8" t="s">
        <v>210</v>
      </c>
      <c r="C40" s="6" t="s">
        <v>185</v>
      </c>
      <c r="D40" s="17" t="s">
        <v>67</v>
      </c>
      <c r="E40" s="6" t="s">
        <v>186</v>
      </c>
      <c r="F40" s="14" t="n">
        <v>2169</v>
      </c>
      <c r="G40" s="14" t="n">
        <v>40</v>
      </c>
      <c r="H40" s="14" t="n">
        <v>40</v>
      </c>
      <c r="I40" s="8" t="n">
        <v>1</v>
      </c>
      <c r="J40" s="15" t="n">
        <f aca="false">F40*I40/1000</f>
        <v>2.169</v>
      </c>
      <c r="K40" s="15"/>
      <c r="L40" s="6"/>
    </row>
    <row r="41" customFormat="false" ht="15" hidden="false" customHeight="true" outlineLevel="0" collapsed="false">
      <c r="A41" s="8" t="n">
        <v>32</v>
      </c>
      <c r="B41" s="8" t="s">
        <v>211</v>
      </c>
      <c r="C41" s="6" t="s">
        <v>185</v>
      </c>
      <c r="D41" s="17" t="s">
        <v>67</v>
      </c>
      <c r="E41" s="6" t="s">
        <v>186</v>
      </c>
      <c r="F41" s="14" t="n">
        <v>2169</v>
      </c>
      <c r="G41" s="14" t="n">
        <v>40</v>
      </c>
      <c r="H41" s="14" t="n">
        <v>40</v>
      </c>
      <c r="I41" s="8" t="n">
        <v>1</v>
      </c>
      <c r="J41" s="15" t="n">
        <f aca="false">F41*I41/1000</f>
        <v>2.169</v>
      </c>
      <c r="K41" s="15"/>
      <c r="L41" s="6" t="s">
        <v>212</v>
      </c>
    </row>
    <row r="42" customFormat="false" ht="15" hidden="false" customHeight="true" outlineLevel="0" collapsed="false">
      <c r="A42" s="8" t="n">
        <v>33</v>
      </c>
      <c r="B42" s="8" t="s">
        <v>213</v>
      </c>
      <c r="C42" s="6" t="s">
        <v>185</v>
      </c>
      <c r="D42" s="17" t="s">
        <v>67</v>
      </c>
      <c r="E42" s="6" t="s">
        <v>186</v>
      </c>
      <c r="F42" s="14" t="n">
        <v>939</v>
      </c>
      <c r="G42" s="14" t="n">
        <v>40</v>
      </c>
      <c r="H42" s="14" t="n">
        <v>40</v>
      </c>
      <c r="I42" s="8" t="n">
        <v>2</v>
      </c>
      <c r="J42" s="15" t="n">
        <f aca="false">F42*I42/1000</f>
        <v>1.878</v>
      </c>
      <c r="K42" s="15"/>
      <c r="L42" s="6"/>
    </row>
    <row r="43" customFormat="false" ht="15" hidden="false" customHeight="true" outlineLevel="0" collapsed="false">
      <c r="A43" s="8" t="n">
        <v>34</v>
      </c>
      <c r="B43" s="8" t="s">
        <v>214</v>
      </c>
      <c r="C43" s="6" t="s">
        <v>185</v>
      </c>
      <c r="D43" s="17" t="s">
        <v>67</v>
      </c>
      <c r="E43" s="6" t="s">
        <v>186</v>
      </c>
      <c r="F43" s="14" t="n">
        <v>859</v>
      </c>
      <c r="G43" s="14" t="n">
        <v>40</v>
      </c>
      <c r="H43" s="14" t="n">
        <v>40</v>
      </c>
      <c r="I43" s="8" t="n">
        <v>1</v>
      </c>
      <c r="J43" s="15" t="n">
        <f aca="false">F43*I43/1000</f>
        <v>0.859</v>
      </c>
      <c r="K43" s="15"/>
      <c r="L43" s="6"/>
    </row>
    <row r="44" customFormat="false" ht="15" hidden="false" customHeight="true" outlineLevel="0" collapsed="false">
      <c r="A44" s="8" t="n">
        <v>35</v>
      </c>
      <c r="B44" s="8" t="s">
        <v>215</v>
      </c>
      <c r="C44" s="6" t="s">
        <v>190</v>
      </c>
      <c r="D44" s="17" t="s">
        <v>67</v>
      </c>
      <c r="E44" s="6" t="s">
        <v>182</v>
      </c>
      <c r="F44" s="14" t="n">
        <v>2234</v>
      </c>
      <c r="G44" s="14" t="n">
        <v>899</v>
      </c>
      <c r="H44" s="14" t="n">
        <v>9</v>
      </c>
      <c r="I44" s="8" t="n">
        <v>1</v>
      </c>
      <c r="J44" s="15"/>
      <c r="K44" s="15" t="n">
        <f aca="false">F44*G44*I44/1000000</f>
        <v>2.008366</v>
      </c>
      <c r="L44" s="6"/>
    </row>
    <row r="45" customFormat="false" ht="15" hidden="false" customHeight="true" outlineLevel="0" collapsed="false">
      <c r="A45" s="8" t="n">
        <v>36</v>
      </c>
      <c r="B45" s="8" t="s">
        <v>216</v>
      </c>
      <c r="C45" s="6" t="s">
        <v>192</v>
      </c>
      <c r="D45" s="17" t="s">
        <v>67</v>
      </c>
      <c r="E45" s="6" t="s">
        <v>193</v>
      </c>
      <c r="F45" s="14" t="n">
        <v>2300</v>
      </c>
      <c r="G45" s="14" t="n">
        <v>919</v>
      </c>
      <c r="H45" s="14" t="n">
        <v>6</v>
      </c>
      <c r="I45" s="8" t="n">
        <v>1</v>
      </c>
      <c r="J45" s="15"/>
      <c r="K45" s="15" t="n">
        <f aca="false">F45*G45*I45/1000000</f>
        <v>2.1137</v>
      </c>
      <c r="L45" s="6" t="s">
        <v>194</v>
      </c>
    </row>
    <row r="46" customFormat="false" ht="15" hidden="false" customHeight="true" outlineLevel="0" collapsed="false">
      <c r="A46" s="8" t="n">
        <v>37</v>
      </c>
      <c r="B46" s="8" t="s">
        <v>217</v>
      </c>
      <c r="C46" s="6" t="s">
        <v>197</v>
      </c>
      <c r="D46" s="16" t="s">
        <v>172</v>
      </c>
      <c r="E46" s="6" t="s">
        <v>21</v>
      </c>
      <c r="F46" s="14" t="n">
        <v>2300</v>
      </c>
      <c r="G46" s="14" t="n">
        <v>919</v>
      </c>
      <c r="H46" s="14" t="n">
        <v>2</v>
      </c>
      <c r="I46" s="8" t="n">
        <v>1</v>
      </c>
      <c r="J46" s="15"/>
      <c r="K46" s="15" t="n">
        <f aca="false">F46*G46*I46/1000000</f>
        <v>2.1137</v>
      </c>
      <c r="L46" s="6" t="s">
        <v>198</v>
      </c>
    </row>
    <row r="47" customFormat="false" ht="15" hidden="false" customHeight="true" outlineLevel="0" collapsed="false">
      <c r="A47" s="12" t="s">
        <v>218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customFormat="false" ht="15" hidden="false" customHeight="true" outlineLevel="0" collapsed="false">
      <c r="A48" s="8" t="n">
        <v>38</v>
      </c>
      <c r="B48" s="8" t="s">
        <v>219</v>
      </c>
      <c r="C48" s="6" t="s">
        <v>185</v>
      </c>
      <c r="D48" s="17" t="s">
        <v>67</v>
      </c>
      <c r="E48" s="6" t="s">
        <v>186</v>
      </c>
      <c r="F48" s="14" t="n">
        <v>2169</v>
      </c>
      <c r="G48" s="14" t="n">
        <v>40</v>
      </c>
      <c r="H48" s="14" t="n">
        <v>40</v>
      </c>
      <c r="I48" s="8" t="n">
        <v>2</v>
      </c>
      <c r="J48" s="15" t="n">
        <f aca="false">F48*I48/1000</f>
        <v>4.338</v>
      </c>
      <c r="K48" s="15"/>
      <c r="L48" s="6" t="s">
        <v>212</v>
      </c>
    </row>
    <row r="49" customFormat="false" ht="15" hidden="false" customHeight="true" outlineLevel="0" collapsed="false">
      <c r="A49" s="8" t="n">
        <v>39</v>
      </c>
      <c r="B49" s="8" t="s">
        <v>220</v>
      </c>
      <c r="C49" s="6" t="s">
        <v>185</v>
      </c>
      <c r="D49" s="17" t="s">
        <v>67</v>
      </c>
      <c r="E49" s="6" t="s">
        <v>186</v>
      </c>
      <c r="F49" s="14" t="n">
        <v>640</v>
      </c>
      <c r="G49" s="14" t="n">
        <v>40</v>
      </c>
      <c r="H49" s="14" t="n">
        <v>40</v>
      </c>
      <c r="I49" s="8" t="n">
        <v>2</v>
      </c>
      <c r="J49" s="15" t="n">
        <f aca="false">F49*I49/1000</f>
        <v>1.28</v>
      </c>
      <c r="K49" s="15"/>
      <c r="L49" s="6"/>
    </row>
    <row r="50" customFormat="false" ht="15" hidden="false" customHeight="true" outlineLevel="0" collapsed="false">
      <c r="A50" s="8" t="n">
        <v>40</v>
      </c>
      <c r="B50" s="8" t="s">
        <v>221</v>
      </c>
      <c r="C50" s="6" t="s">
        <v>185</v>
      </c>
      <c r="D50" s="17" t="s">
        <v>67</v>
      </c>
      <c r="E50" s="6" t="s">
        <v>186</v>
      </c>
      <c r="F50" s="14" t="n">
        <v>560</v>
      </c>
      <c r="G50" s="14" t="n">
        <v>40</v>
      </c>
      <c r="H50" s="14" t="n">
        <v>40</v>
      </c>
      <c r="I50" s="8" t="n">
        <v>1</v>
      </c>
      <c r="J50" s="15" t="n">
        <f aca="false">F50*I50/1000</f>
        <v>0.56</v>
      </c>
      <c r="K50" s="15"/>
      <c r="L50" s="6"/>
    </row>
    <row r="51" customFormat="false" ht="15" hidden="false" customHeight="true" outlineLevel="0" collapsed="false">
      <c r="A51" s="8" t="n">
        <v>41</v>
      </c>
      <c r="B51" s="8" t="s">
        <v>222</v>
      </c>
      <c r="C51" s="6" t="s">
        <v>190</v>
      </c>
      <c r="D51" s="17" t="s">
        <v>67</v>
      </c>
      <c r="E51" s="6" t="s">
        <v>182</v>
      </c>
      <c r="F51" s="14" t="n">
        <v>2234</v>
      </c>
      <c r="G51" s="14" t="n">
        <v>600</v>
      </c>
      <c r="H51" s="14" t="n">
        <v>9</v>
      </c>
      <c r="I51" s="8" t="n">
        <v>1</v>
      </c>
      <c r="J51" s="15"/>
      <c r="K51" s="15" t="n">
        <f aca="false">F51*G51*I51/1000000</f>
        <v>1.3404</v>
      </c>
      <c r="L51" s="6"/>
    </row>
    <row r="52" customFormat="false" ht="15" hidden="false" customHeight="true" outlineLevel="0" collapsed="false">
      <c r="A52" s="8" t="n">
        <v>42</v>
      </c>
      <c r="B52" s="8" t="s">
        <v>223</v>
      </c>
      <c r="C52" s="6" t="s">
        <v>192</v>
      </c>
      <c r="D52" s="17" t="s">
        <v>67</v>
      </c>
      <c r="E52" s="6" t="s">
        <v>193</v>
      </c>
      <c r="F52" s="14" t="n">
        <v>2300</v>
      </c>
      <c r="G52" s="14" t="n">
        <v>640</v>
      </c>
      <c r="H52" s="14" t="n">
        <v>6</v>
      </c>
      <c r="I52" s="8" t="n">
        <v>1</v>
      </c>
      <c r="J52" s="15"/>
      <c r="K52" s="15" t="n">
        <f aca="false">F52*G52*I52/1000000</f>
        <v>1.472</v>
      </c>
      <c r="L52" s="6" t="s">
        <v>194</v>
      </c>
    </row>
    <row r="53" customFormat="false" ht="15" hidden="false" customHeight="true" outlineLevel="0" collapsed="false">
      <c r="A53" s="8" t="n">
        <v>43</v>
      </c>
      <c r="B53" s="8" t="s">
        <v>224</v>
      </c>
      <c r="C53" s="6" t="s">
        <v>197</v>
      </c>
      <c r="D53" s="16" t="s">
        <v>172</v>
      </c>
      <c r="E53" s="6" t="s">
        <v>21</v>
      </c>
      <c r="F53" s="14" t="n">
        <v>2300</v>
      </c>
      <c r="G53" s="14" t="n">
        <v>640</v>
      </c>
      <c r="H53" s="14" t="n">
        <v>2</v>
      </c>
      <c r="I53" s="8" t="n">
        <v>1</v>
      </c>
      <c r="J53" s="15"/>
      <c r="K53" s="15" t="n">
        <f aca="false">F53*G53*I53/1000000</f>
        <v>1.472</v>
      </c>
      <c r="L53" s="6" t="s">
        <v>198</v>
      </c>
    </row>
    <row r="54" customFormat="false" ht="15" hidden="false" customHeight="true" outlineLevel="0" collapsed="false">
      <c r="A54" s="8" t="n">
        <v>44</v>
      </c>
      <c r="B54" s="8" t="s">
        <v>225</v>
      </c>
      <c r="C54" s="6" t="s">
        <v>226</v>
      </c>
      <c r="D54" s="16" t="s">
        <v>172</v>
      </c>
      <c r="E54" s="6" t="s">
        <v>21</v>
      </c>
      <c r="F54" s="14" t="n">
        <v>2234</v>
      </c>
      <c r="G54" s="14" t="n">
        <v>600</v>
      </c>
      <c r="H54" s="14" t="n">
        <v>2</v>
      </c>
      <c r="I54" s="8" t="n">
        <v>1</v>
      </c>
      <c r="J54" s="15"/>
      <c r="K54" s="15" t="n">
        <f aca="false">F54*G54*I54/1000000</f>
        <v>1.3404</v>
      </c>
      <c r="L54" s="6" t="s">
        <v>227</v>
      </c>
    </row>
    <row r="55" customFormat="false" ht="15" hidden="false" customHeight="true" outlineLevel="0" collapsed="false">
      <c r="A55" s="12" t="s">
        <v>228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customFormat="false" ht="15" hidden="false" customHeight="true" outlineLevel="0" collapsed="false">
      <c r="A56" s="8" t="n">
        <v>45</v>
      </c>
      <c r="B56" s="8" t="s">
        <v>229</v>
      </c>
      <c r="C56" s="6" t="s">
        <v>185</v>
      </c>
      <c r="D56" s="17" t="s">
        <v>67</v>
      </c>
      <c r="E56" s="6" t="s">
        <v>186</v>
      </c>
      <c r="F56" s="14" t="n">
        <v>2169</v>
      </c>
      <c r="G56" s="14" t="n">
        <v>40</v>
      </c>
      <c r="H56" s="14" t="n">
        <v>40</v>
      </c>
      <c r="I56" s="8" t="n">
        <v>1</v>
      </c>
      <c r="J56" s="15" t="n">
        <f aca="false">F56*I56/1000</f>
        <v>2.169</v>
      </c>
      <c r="K56" s="15"/>
      <c r="L56" s="6" t="s">
        <v>212</v>
      </c>
    </row>
    <row r="57" customFormat="false" ht="15" hidden="false" customHeight="true" outlineLevel="0" collapsed="false">
      <c r="A57" s="8" t="n">
        <v>46</v>
      </c>
      <c r="B57" s="8" t="s">
        <v>230</v>
      </c>
      <c r="C57" s="6" t="s">
        <v>185</v>
      </c>
      <c r="D57" s="17" t="s">
        <v>67</v>
      </c>
      <c r="E57" s="6" t="s">
        <v>186</v>
      </c>
      <c r="F57" s="14" t="n">
        <v>2169</v>
      </c>
      <c r="G57" s="14" t="n">
        <v>40</v>
      </c>
      <c r="H57" s="14" t="n">
        <v>40</v>
      </c>
      <c r="I57" s="8" t="n">
        <v>1</v>
      </c>
      <c r="J57" s="15" t="n">
        <f aca="false">F57*I57/1000</f>
        <v>2.169</v>
      </c>
      <c r="K57" s="15"/>
      <c r="L57" s="6"/>
    </row>
    <row r="58" customFormat="false" ht="15" hidden="false" customHeight="true" outlineLevel="0" collapsed="false">
      <c r="A58" s="8" t="n">
        <v>47</v>
      </c>
      <c r="B58" s="8" t="s">
        <v>231</v>
      </c>
      <c r="C58" s="6" t="s">
        <v>185</v>
      </c>
      <c r="D58" s="17" t="s">
        <v>67</v>
      </c>
      <c r="E58" s="6" t="s">
        <v>186</v>
      </c>
      <c r="F58" s="14" t="n">
        <v>939</v>
      </c>
      <c r="G58" s="14" t="n">
        <v>40</v>
      </c>
      <c r="H58" s="14" t="n">
        <v>40</v>
      </c>
      <c r="I58" s="8" t="n">
        <v>2</v>
      </c>
      <c r="J58" s="15" t="n">
        <f aca="false">F58*I58/1000</f>
        <v>1.878</v>
      </c>
      <c r="K58" s="15"/>
      <c r="L58" s="6"/>
    </row>
    <row r="59" customFormat="false" ht="15" hidden="false" customHeight="true" outlineLevel="0" collapsed="false">
      <c r="A59" s="8" t="n">
        <v>48</v>
      </c>
      <c r="B59" s="8" t="s">
        <v>232</v>
      </c>
      <c r="C59" s="6" t="s">
        <v>185</v>
      </c>
      <c r="D59" s="17" t="s">
        <v>67</v>
      </c>
      <c r="E59" s="6" t="s">
        <v>186</v>
      </c>
      <c r="F59" s="14" t="n">
        <v>859</v>
      </c>
      <c r="G59" s="14" t="n">
        <v>40</v>
      </c>
      <c r="H59" s="14" t="n">
        <v>40</v>
      </c>
      <c r="I59" s="8" t="n">
        <v>1</v>
      </c>
      <c r="J59" s="15" t="n">
        <f aca="false">F59*I59/1000</f>
        <v>0.859</v>
      </c>
      <c r="K59" s="15"/>
      <c r="L59" s="6"/>
    </row>
    <row r="60" customFormat="false" ht="15" hidden="false" customHeight="true" outlineLevel="0" collapsed="false">
      <c r="A60" s="8" t="n">
        <v>49</v>
      </c>
      <c r="B60" s="8" t="s">
        <v>233</v>
      </c>
      <c r="C60" s="6" t="s">
        <v>190</v>
      </c>
      <c r="D60" s="17" t="s">
        <v>67</v>
      </c>
      <c r="E60" s="6" t="s">
        <v>182</v>
      </c>
      <c r="F60" s="14" t="n">
        <v>2234</v>
      </c>
      <c r="G60" s="14" t="n">
        <v>899</v>
      </c>
      <c r="H60" s="14" t="n">
        <v>9</v>
      </c>
      <c r="I60" s="8" t="n">
        <v>1</v>
      </c>
      <c r="J60" s="15"/>
      <c r="K60" s="15" t="n">
        <f aca="false">F60*G60*I60/1000000</f>
        <v>2.008366</v>
      </c>
      <c r="L60" s="6"/>
    </row>
    <row r="61" customFormat="false" ht="15" hidden="false" customHeight="true" outlineLevel="0" collapsed="false">
      <c r="A61" s="8" t="n">
        <v>50</v>
      </c>
      <c r="B61" s="8" t="s">
        <v>234</v>
      </c>
      <c r="C61" s="6" t="s">
        <v>192</v>
      </c>
      <c r="D61" s="17" t="s">
        <v>67</v>
      </c>
      <c r="E61" s="6" t="s">
        <v>193</v>
      </c>
      <c r="F61" s="14" t="n">
        <v>2300</v>
      </c>
      <c r="G61" s="14" t="n">
        <v>919</v>
      </c>
      <c r="H61" s="14" t="n">
        <v>6</v>
      </c>
      <c r="I61" s="8" t="n">
        <v>1</v>
      </c>
      <c r="J61" s="15"/>
      <c r="K61" s="15" t="n">
        <f aca="false">F61*G61*I61/1000000</f>
        <v>2.1137</v>
      </c>
      <c r="L61" s="6" t="s">
        <v>194</v>
      </c>
    </row>
    <row r="62" customFormat="false" ht="15" hidden="false" customHeight="true" outlineLevel="0" collapsed="false">
      <c r="A62" s="8" t="n">
        <v>51</v>
      </c>
      <c r="B62" s="8" t="s">
        <v>235</v>
      </c>
      <c r="C62" s="6" t="s">
        <v>197</v>
      </c>
      <c r="D62" s="16" t="s">
        <v>172</v>
      </c>
      <c r="E62" s="6" t="s">
        <v>21</v>
      </c>
      <c r="F62" s="14" t="n">
        <v>2300</v>
      </c>
      <c r="G62" s="14" t="n">
        <v>919</v>
      </c>
      <c r="H62" s="14" t="n">
        <v>2</v>
      </c>
      <c r="I62" s="8" t="n">
        <v>1</v>
      </c>
      <c r="J62" s="15"/>
      <c r="K62" s="15" t="n">
        <f aca="false">F62*G62*I62/1000000</f>
        <v>2.1137</v>
      </c>
      <c r="L62" s="6" t="s">
        <v>198</v>
      </c>
    </row>
    <row r="63" customFormat="false" ht="15" hidden="false" customHeight="true" outlineLevel="0" collapsed="false">
      <c r="A63" s="12" t="s">
        <v>236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8" t="n">
        <v>52</v>
      </c>
      <c r="B64" s="8" t="s">
        <v>237</v>
      </c>
      <c r="C64" s="6" t="s">
        <v>185</v>
      </c>
      <c r="D64" s="17" t="s">
        <v>67</v>
      </c>
      <c r="E64" s="6" t="s">
        <v>186</v>
      </c>
      <c r="F64" s="14" t="n">
        <v>2480</v>
      </c>
      <c r="G64" s="14" t="n">
        <v>40</v>
      </c>
      <c r="H64" s="14" t="n">
        <v>40</v>
      </c>
      <c r="I64" s="8" t="n">
        <v>2</v>
      </c>
      <c r="J64" s="15" t="n">
        <f aca="false">F64*I64/1000</f>
        <v>4.96</v>
      </c>
      <c r="K64" s="15"/>
      <c r="L64" s="6"/>
    </row>
    <row r="65" customFormat="false" ht="15" hidden="false" customHeight="true" outlineLevel="0" collapsed="false">
      <c r="A65" s="8" t="n">
        <v>53</v>
      </c>
      <c r="B65" s="8" t="s">
        <v>238</v>
      </c>
      <c r="C65" s="6" t="s">
        <v>185</v>
      </c>
      <c r="D65" s="17" t="s">
        <v>67</v>
      </c>
      <c r="E65" s="6" t="s">
        <v>186</v>
      </c>
      <c r="F65" s="14" t="n">
        <v>1405</v>
      </c>
      <c r="G65" s="14" t="n">
        <v>40</v>
      </c>
      <c r="H65" s="14" t="n">
        <v>40</v>
      </c>
      <c r="I65" s="8" t="n">
        <v>5</v>
      </c>
      <c r="J65" s="15" t="n">
        <f aca="false">F65*I65/1000</f>
        <v>7.025</v>
      </c>
      <c r="K65" s="15"/>
      <c r="L65" s="6"/>
    </row>
    <row r="66" customFormat="false" ht="15" hidden="false" customHeight="true" outlineLevel="0" collapsed="false">
      <c r="A66" s="8" t="n">
        <v>54</v>
      </c>
      <c r="B66" s="8" t="s">
        <v>239</v>
      </c>
      <c r="C66" s="6" t="s">
        <v>190</v>
      </c>
      <c r="D66" s="17" t="s">
        <v>67</v>
      </c>
      <c r="E66" s="6" t="s">
        <v>182</v>
      </c>
      <c r="F66" s="14" t="n">
        <v>1446</v>
      </c>
      <c r="G66" s="14" t="n">
        <v>1199.5</v>
      </c>
      <c r="H66" s="14" t="n">
        <v>9</v>
      </c>
      <c r="I66" s="8" t="n">
        <v>2</v>
      </c>
      <c r="J66" s="15"/>
      <c r="K66" s="15" t="n">
        <f aca="false">F66*G66*I66/1000000</f>
        <v>3.468954</v>
      </c>
      <c r="L66" s="6" t="s">
        <v>240</v>
      </c>
    </row>
    <row r="67" customFormat="false" ht="15" hidden="false" customHeight="true" outlineLevel="0" collapsed="false">
      <c r="A67" s="8" t="n">
        <v>55</v>
      </c>
      <c r="B67" s="8" t="s">
        <v>241</v>
      </c>
      <c r="C67" s="6" t="s">
        <v>192</v>
      </c>
      <c r="D67" s="17" t="s">
        <v>67</v>
      </c>
      <c r="E67" s="6" t="s">
        <v>193</v>
      </c>
      <c r="F67" s="14" t="n">
        <v>1485</v>
      </c>
      <c r="G67" s="14" t="n">
        <v>1239.5</v>
      </c>
      <c r="H67" s="14" t="n">
        <v>6</v>
      </c>
      <c r="I67" s="8" t="n">
        <v>2</v>
      </c>
      <c r="J67" s="15"/>
      <c r="K67" s="15" t="n">
        <f aca="false">F67*G67*I67/1000000</f>
        <v>3.681315</v>
      </c>
      <c r="L67" s="6" t="s">
        <v>194</v>
      </c>
    </row>
    <row r="68" customFormat="false" ht="15" hidden="false" customHeight="true" outlineLevel="0" collapsed="false">
      <c r="A68" s="8" t="n">
        <v>56</v>
      </c>
      <c r="B68" s="8" t="s">
        <v>242</v>
      </c>
      <c r="C68" s="6" t="s">
        <v>197</v>
      </c>
      <c r="D68" s="16" t="s">
        <v>172</v>
      </c>
      <c r="E68" s="6" t="s">
        <v>21</v>
      </c>
      <c r="F68" s="14" t="n">
        <v>1485</v>
      </c>
      <c r="G68" s="14" t="n">
        <v>1239.5</v>
      </c>
      <c r="H68" s="14" t="n">
        <v>2</v>
      </c>
      <c r="I68" s="8" t="n">
        <v>2</v>
      </c>
      <c r="J68" s="15"/>
      <c r="K68" s="15" t="n">
        <f aca="false">F68*G68*I68/1000000</f>
        <v>3.681315</v>
      </c>
      <c r="L68" s="6" t="s">
        <v>198</v>
      </c>
    </row>
    <row r="69" customFormat="false" ht="15" hidden="false" customHeight="true" outlineLevel="0" collapsed="false">
      <c r="A69" s="12" t="s">
        <v>243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8" t="n">
        <v>57</v>
      </c>
      <c r="B70" s="8" t="s">
        <v>244</v>
      </c>
      <c r="C70" s="6" t="s">
        <v>245</v>
      </c>
      <c r="D70" s="13" t="s">
        <v>60</v>
      </c>
      <c r="E70" s="6" t="s">
        <v>246</v>
      </c>
      <c r="F70" s="14" t="n">
        <v>915.5</v>
      </c>
      <c r="G70" s="14" t="n">
        <v>16</v>
      </c>
      <c r="H70" s="14" t="n">
        <v>16</v>
      </c>
      <c r="I70" s="8" t="n">
        <v>1</v>
      </c>
      <c r="J70" s="15" t="n">
        <f aca="false">F70*I70/1000</f>
        <v>0.9155</v>
      </c>
      <c r="K70" s="15"/>
      <c r="L70" s="6"/>
    </row>
    <row r="71" customFormat="false" ht="15" hidden="false" customHeight="true" outlineLevel="0" collapsed="false">
      <c r="A71" s="8" t="n">
        <v>58</v>
      </c>
      <c r="B71" s="8" t="s">
        <v>247</v>
      </c>
      <c r="C71" s="6" t="s">
        <v>245</v>
      </c>
      <c r="D71" s="13" t="s">
        <v>60</v>
      </c>
      <c r="E71" s="6" t="s">
        <v>246</v>
      </c>
      <c r="F71" s="14" t="n">
        <v>871.5</v>
      </c>
      <c r="G71" s="14" t="n">
        <v>16</v>
      </c>
      <c r="H71" s="14" t="n">
        <v>16</v>
      </c>
      <c r="I71" s="8" t="n">
        <v>1</v>
      </c>
      <c r="J71" s="15" t="n">
        <f aca="false">F71*I71/1000</f>
        <v>0.8715</v>
      </c>
      <c r="K71" s="15"/>
      <c r="L71" s="6"/>
    </row>
    <row r="72" customFormat="false" ht="15" hidden="false" customHeight="true" outlineLevel="0" collapsed="false">
      <c r="A72" s="8" t="n">
        <v>59</v>
      </c>
      <c r="B72" s="8" t="s">
        <v>248</v>
      </c>
      <c r="C72" s="6" t="s">
        <v>245</v>
      </c>
      <c r="D72" s="13" t="s">
        <v>60</v>
      </c>
      <c r="E72" s="6" t="s">
        <v>246</v>
      </c>
      <c r="F72" s="14" t="n">
        <v>709</v>
      </c>
      <c r="G72" s="14" t="n">
        <v>16</v>
      </c>
      <c r="H72" s="14" t="n">
        <v>16</v>
      </c>
      <c r="I72" s="8" t="n">
        <v>1</v>
      </c>
      <c r="J72" s="15" t="n">
        <f aca="false">F72*I72/1000</f>
        <v>0.709</v>
      </c>
      <c r="K72" s="15"/>
      <c r="L72" s="6"/>
    </row>
    <row r="73" customFormat="false" ht="15" hidden="false" customHeight="true" outlineLevel="0" collapsed="false">
      <c r="A73" s="8" t="n">
        <v>60</v>
      </c>
      <c r="B73" s="8" t="s">
        <v>249</v>
      </c>
      <c r="C73" s="6" t="s">
        <v>245</v>
      </c>
      <c r="D73" s="13" t="s">
        <v>60</v>
      </c>
      <c r="E73" s="6" t="s">
        <v>246</v>
      </c>
      <c r="F73" s="14" t="n">
        <v>652.5</v>
      </c>
      <c r="G73" s="14" t="n">
        <v>16</v>
      </c>
      <c r="H73" s="14" t="n">
        <v>16</v>
      </c>
      <c r="I73" s="8" t="n">
        <v>6</v>
      </c>
      <c r="J73" s="15" t="n">
        <f aca="false">F73*I73/1000</f>
        <v>3.915</v>
      </c>
      <c r="K73" s="15"/>
      <c r="L73" s="6"/>
    </row>
    <row r="74" customFormat="false" ht="15" hidden="false" customHeight="true" outlineLevel="0" collapsed="false">
      <c r="A74" s="8" t="n">
        <v>61</v>
      </c>
      <c r="B74" s="8" t="s">
        <v>250</v>
      </c>
      <c r="C74" s="6" t="s">
        <v>245</v>
      </c>
      <c r="D74" s="13" t="s">
        <v>60</v>
      </c>
      <c r="E74" s="6" t="s">
        <v>246</v>
      </c>
      <c r="F74" s="14" t="n">
        <v>378</v>
      </c>
      <c r="G74" s="14" t="n">
        <v>16</v>
      </c>
      <c r="H74" s="14" t="n">
        <v>16</v>
      </c>
      <c r="I74" s="8" t="n">
        <v>1</v>
      </c>
      <c r="J74" s="15" t="n">
        <f aca="false">F74*I74/1000</f>
        <v>0.378</v>
      </c>
      <c r="K74" s="15"/>
      <c r="L74" s="6"/>
    </row>
    <row r="75" customFormat="false" ht="15" hidden="false" customHeight="true" outlineLevel="0" collapsed="false">
      <c r="A75" s="8" t="n">
        <v>62</v>
      </c>
      <c r="B75" s="8" t="s">
        <v>251</v>
      </c>
      <c r="C75" s="6" t="s">
        <v>245</v>
      </c>
      <c r="D75" s="13" t="s">
        <v>60</v>
      </c>
      <c r="E75" s="6" t="s">
        <v>246</v>
      </c>
      <c r="F75" s="14" t="n">
        <v>270</v>
      </c>
      <c r="G75" s="14" t="n">
        <v>16</v>
      </c>
      <c r="H75" s="14" t="n">
        <v>16</v>
      </c>
      <c r="I75" s="8" t="n">
        <v>3</v>
      </c>
      <c r="J75" s="15" t="n">
        <f aca="false">F75*I75/1000</f>
        <v>0.81</v>
      </c>
      <c r="K75" s="15"/>
      <c r="L75" s="6"/>
    </row>
    <row r="76" customFormat="false" ht="15" hidden="false" customHeight="true" outlineLevel="0" collapsed="false">
      <c r="A76" s="8" t="n">
        <v>63</v>
      </c>
      <c r="B76" s="8" t="s">
        <v>252</v>
      </c>
      <c r="C76" s="6" t="s">
        <v>245</v>
      </c>
      <c r="D76" s="13" t="s">
        <v>60</v>
      </c>
      <c r="E76" s="6" t="s">
        <v>246</v>
      </c>
      <c r="F76" s="14" t="n">
        <v>266.5</v>
      </c>
      <c r="G76" s="14" t="n">
        <v>16</v>
      </c>
      <c r="H76" s="14" t="n">
        <v>16</v>
      </c>
      <c r="I76" s="8" t="n">
        <v>1</v>
      </c>
      <c r="J76" s="15" t="n">
        <f aca="false">F76*I76/1000</f>
        <v>0.2665</v>
      </c>
      <c r="K76" s="15"/>
      <c r="L76" s="6"/>
    </row>
    <row r="77" customFormat="false" ht="15" hidden="false" customHeight="true" outlineLevel="0" collapsed="false">
      <c r="A77" s="8" t="n">
        <v>64</v>
      </c>
      <c r="B77" s="8" t="s">
        <v>253</v>
      </c>
      <c r="C77" s="6" t="s">
        <v>245</v>
      </c>
      <c r="D77" s="13" t="s">
        <v>60</v>
      </c>
      <c r="E77" s="6" t="s">
        <v>246</v>
      </c>
      <c r="F77" s="14" t="n">
        <v>198.5</v>
      </c>
      <c r="G77" s="14" t="n">
        <v>16</v>
      </c>
      <c r="H77" s="14" t="n">
        <v>16</v>
      </c>
      <c r="I77" s="8" t="n">
        <v>3</v>
      </c>
      <c r="J77" s="15" t="n">
        <f aca="false">F77*I77/1000</f>
        <v>0.5955</v>
      </c>
      <c r="K77" s="15"/>
      <c r="L77" s="6"/>
    </row>
    <row r="78" customFormat="false" ht="15" hidden="false" customHeight="true" outlineLevel="0" collapsed="false">
      <c r="A78" s="8" t="n">
        <v>65</v>
      </c>
      <c r="B78" s="8" t="s">
        <v>254</v>
      </c>
      <c r="C78" s="6" t="s">
        <v>245</v>
      </c>
      <c r="D78" s="13" t="s">
        <v>60</v>
      </c>
      <c r="E78" s="6" t="s">
        <v>246</v>
      </c>
      <c r="F78" s="14" t="n">
        <v>173</v>
      </c>
      <c r="G78" s="14" t="n">
        <v>16</v>
      </c>
      <c r="H78" s="14" t="n">
        <v>16</v>
      </c>
      <c r="I78" s="8" t="n">
        <v>3</v>
      </c>
      <c r="J78" s="15" t="n">
        <f aca="false">F78*I78/1000</f>
        <v>0.519</v>
      </c>
      <c r="K78" s="15"/>
      <c r="L78" s="6"/>
    </row>
    <row r="79" customFormat="false" ht="15" hidden="false" customHeight="true" outlineLevel="0" collapsed="false">
      <c r="A79" s="8" t="n">
        <v>66</v>
      </c>
      <c r="B79" s="8" t="s">
        <v>255</v>
      </c>
      <c r="C79" s="6" t="s">
        <v>245</v>
      </c>
      <c r="D79" s="13" t="s">
        <v>60</v>
      </c>
      <c r="E79" s="6" t="s">
        <v>246</v>
      </c>
      <c r="F79" s="14" t="n">
        <v>158.5</v>
      </c>
      <c r="G79" s="14" t="n">
        <v>16</v>
      </c>
      <c r="H79" s="14" t="n">
        <v>16</v>
      </c>
      <c r="I79" s="8" t="n">
        <v>1</v>
      </c>
      <c r="J79" s="15" t="n">
        <f aca="false">F79*I79/1000</f>
        <v>0.1585</v>
      </c>
      <c r="K79" s="15"/>
      <c r="L79" s="6"/>
    </row>
    <row r="80" customFormat="false" ht="15" hidden="false" customHeight="true" outlineLevel="0" collapsed="false">
      <c r="A80" s="8" t="n">
        <v>67</v>
      </c>
      <c r="B80" s="8" t="s">
        <v>256</v>
      </c>
      <c r="C80" s="6" t="s">
        <v>245</v>
      </c>
      <c r="D80" s="13" t="s">
        <v>60</v>
      </c>
      <c r="E80" s="6" t="s">
        <v>246</v>
      </c>
      <c r="F80" s="14" t="n">
        <v>153</v>
      </c>
      <c r="G80" s="14" t="n">
        <v>16</v>
      </c>
      <c r="H80" s="14" t="n">
        <v>16</v>
      </c>
      <c r="I80" s="8" t="n">
        <v>1</v>
      </c>
      <c r="J80" s="15" t="n">
        <f aca="false">F80*I80/1000</f>
        <v>0.153</v>
      </c>
      <c r="K80" s="15"/>
      <c r="L80" s="6"/>
    </row>
    <row r="81" customFormat="false" ht="15" hidden="false" customHeight="true" outlineLevel="0" collapsed="false">
      <c r="A81" s="8" t="n">
        <v>68</v>
      </c>
      <c r="B81" s="8" t="s">
        <v>257</v>
      </c>
      <c r="C81" s="6" t="s">
        <v>245</v>
      </c>
      <c r="D81" s="13" t="s">
        <v>60</v>
      </c>
      <c r="E81" s="6" t="s">
        <v>246</v>
      </c>
      <c r="F81" s="14" t="n">
        <v>123.5</v>
      </c>
      <c r="G81" s="14" t="n">
        <v>16</v>
      </c>
      <c r="H81" s="14" t="n">
        <v>16</v>
      </c>
      <c r="I81" s="8" t="n">
        <v>3</v>
      </c>
      <c r="J81" s="15" t="n">
        <f aca="false">F81*I81/1000</f>
        <v>0.3705</v>
      </c>
      <c r="K81" s="15"/>
      <c r="L81" s="6"/>
    </row>
    <row r="82" customFormat="false" ht="15" hidden="false" customHeight="true" outlineLevel="0" collapsed="false">
      <c r="A82" s="8" t="n">
        <v>69</v>
      </c>
      <c r="B82" s="8" t="s">
        <v>258</v>
      </c>
      <c r="C82" s="6" t="s">
        <v>245</v>
      </c>
      <c r="D82" s="13" t="s">
        <v>60</v>
      </c>
      <c r="E82" s="6" t="s">
        <v>259</v>
      </c>
      <c r="F82" s="14" t="n">
        <v>652.5</v>
      </c>
      <c r="G82" s="14" t="n">
        <v>60</v>
      </c>
      <c r="H82" s="14" t="n">
        <v>20</v>
      </c>
      <c r="I82" s="8" t="n">
        <v>3</v>
      </c>
      <c r="J82" s="15" t="n">
        <f aca="false">F82*I82/1000</f>
        <v>1.9575</v>
      </c>
      <c r="K82" s="15"/>
      <c r="L82" s="6"/>
    </row>
    <row r="83" customFormat="false" ht="15" hidden="false" customHeight="true" outlineLevel="0" collapsed="false">
      <c r="A83" s="8" t="n">
        <v>70</v>
      </c>
      <c r="B83" s="8" t="s">
        <v>260</v>
      </c>
      <c r="C83" s="6" t="s">
        <v>261</v>
      </c>
      <c r="D83" s="16" t="s">
        <v>172</v>
      </c>
      <c r="E83" s="6" t="s">
        <v>173</v>
      </c>
      <c r="F83" s="14" t="n">
        <v>2296.5</v>
      </c>
      <c r="G83" s="14" t="n">
        <v>274.1</v>
      </c>
      <c r="H83" s="14" t="n">
        <v>3</v>
      </c>
      <c r="I83" s="8" t="n">
        <v>1</v>
      </c>
      <c r="J83" s="15"/>
      <c r="K83" s="15" t="n">
        <f aca="false">F83*G83*I83/1000000</f>
        <v>0.62947065</v>
      </c>
      <c r="L83" s="6"/>
    </row>
    <row r="84" customFormat="false" ht="15" hidden="false" customHeight="true" outlineLevel="0" collapsed="false">
      <c r="A84" s="8" t="n">
        <v>71</v>
      </c>
      <c r="B84" s="8" t="s">
        <v>262</v>
      </c>
      <c r="C84" s="6" t="s">
        <v>261</v>
      </c>
      <c r="D84" s="16" t="s">
        <v>172</v>
      </c>
      <c r="E84" s="6" t="s">
        <v>173</v>
      </c>
      <c r="F84" s="14" t="n">
        <v>383.5</v>
      </c>
      <c r="G84" s="14" t="n">
        <v>193.9</v>
      </c>
      <c r="H84" s="14" t="n">
        <v>3</v>
      </c>
      <c r="I84" s="8" t="n">
        <v>1</v>
      </c>
      <c r="J84" s="15"/>
      <c r="K84" s="15" t="n">
        <f aca="false">F84*G84*I84/1000000</f>
        <v>0.07436065</v>
      </c>
      <c r="L84" s="6" t="s">
        <v>263</v>
      </c>
    </row>
    <row r="85" customFormat="false" ht="23.25" hidden="false" customHeight="true" outlineLevel="0" collapsed="false">
      <c r="A85" s="8" t="n">
        <v>72</v>
      </c>
      <c r="B85" s="8" t="s">
        <v>264</v>
      </c>
      <c r="C85" s="6" t="s">
        <v>265</v>
      </c>
      <c r="D85" s="16" t="s">
        <v>172</v>
      </c>
      <c r="E85" s="6" t="s">
        <v>173</v>
      </c>
      <c r="F85" s="14" t="n">
        <v>2300.5</v>
      </c>
      <c r="G85" s="14" t="n">
        <v>278.1</v>
      </c>
      <c r="H85" s="14" t="n">
        <v>200.1</v>
      </c>
      <c r="I85" s="8" t="n">
        <v>1</v>
      </c>
      <c r="J85" s="15"/>
      <c r="K85" s="15" t="n">
        <f aca="false">1.17*I85</f>
        <v>1.17</v>
      </c>
      <c r="L85" s="6" t="s">
        <v>266</v>
      </c>
    </row>
    <row r="86" customFormat="false" ht="15" hidden="false" customHeight="true" outlineLevel="0" collapsed="false">
      <c r="A86" s="8" t="n">
        <v>73</v>
      </c>
      <c r="B86" s="8" t="s">
        <v>267</v>
      </c>
      <c r="C86" s="6" t="s">
        <v>176</v>
      </c>
      <c r="D86" s="13" t="s">
        <v>60</v>
      </c>
      <c r="E86" s="6" t="s">
        <v>268</v>
      </c>
      <c r="F86" s="14" t="n">
        <v>50</v>
      </c>
      <c r="G86" s="14" t="n">
        <v>20</v>
      </c>
      <c r="H86" s="14" t="n">
        <v>2</v>
      </c>
      <c r="I86" s="8" t="n">
        <v>3</v>
      </c>
      <c r="J86" s="15"/>
      <c r="K86" s="15"/>
      <c r="L86" s="6"/>
    </row>
    <row r="87" customFormat="false" ht="15" hidden="false" customHeight="true" outlineLevel="0" collapsed="false">
      <c r="A87" s="12" t="s">
        <v>269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customFormat="false" ht="15" hidden="false" customHeight="true" outlineLevel="0" collapsed="false">
      <c r="A88" s="8" t="n">
        <v>74</v>
      </c>
      <c r="B88" s="8" t="s">
        <v>270</v>
      </c>
      <c r="C88" s="6" t="s">
        <v>245</v>
      </c>
      <c r="D88" s="13" t="s">
        <v>60</v>
      </c>
      <c r="E88" s="6" t="s">
        <v>246</v>
      </c>
      <c r="F88" s="14" t="n">
        <v>2298</v>
      </c>
      <c r="G88" s="14" t="n">
        <v>16</v>
      </c>
      <c r="H88" s="14" t="n">
        <v>16</v>
      </c>
      <c r="I88" s="8" t="n">
        <v>1</v>
      </c>
      <c r="J88" s="15" t="n">
        <f aca="false">F88*I88/1000</f>
        <v>2.298</v>
      </c>
      <c r="K88" s="15"/>
      <c r="L88" s="6"/>
    </row>
    <row r="89" customFormat="false" ht="15" hidden="false" customHeight="true" outlineLevel="0" collapsed="false">
      <c r="A89" s="8" t="n">
        <v>75</v>
      </c>
      <c r="B89" s="8" t="s">
        <v>271</v>
      </c>
      <c r="C89" s="6" t="s">
        <v>245</v>
      </c>
      <c r="D89" s="13" t="s">
        <v>60</v>
      </c>
      <c r="E89" s="6" t="s">
        <v>246</v>
      </c>
      <c r="F89" s="14" t="n">
        <v>2098.5</v>
      </c>
      <c r="G89" s="14" t="n">
        <v>16</v>
      </c>
      <c r="H89" s="14" t="n">
        <v>16</v>
      </c>
      <c r="I89" s="8" t="n">
        <v>1</v>
      </c>
      <c r="J89" s="15" t="n">
        <f aca="false">F89*I89/1000</f>
        <v>2.0985</v>
      </c>
      <c r="K89" s="15"/>
      <c r="L89" s="6"/>
    </row>
    <row r="90" customFormat="false" ht="15" hidden="false" customHeight="true" outlineLevel="0" collapsed="false">
      <c r="A90" s="8" t="n">
        <v>76</v>
      </c>
      <c r="B90" s="8" t="s">
        <v>272</v>
      </c>
      <c r="C90" s="6" t="s">
        <v>245</v>
      </c>
      <c r="D90" s="13" t="s">
        <v>60</v>
      </c>
      <c r="E90" s="6" t="s">
        <v>246</v>
      </c>
      <c r="F90" s="14" t="n">
        <v>1446</v>
      </c>
      <c r="G90" s="14" t="n">
        <v>16</v>
      </c>
      <c r="H90" s="14" t="n">
        <v>16</v>
      </c>
      <c r="I90" s="8" t="n">
        <v>2</v>
      </c>
      <c r="J90" s="15" t="n">
        <f aca="false">F90*I90/1000</f>
        <v>2.892</v>
      </c>
      <c r="K90" s="15"/>
      <c r="L90" s="6"/>
    </row>
    <row r="91" customFormat="false" ht="15" hidden="false" customHeight="true" outlineLevel="0" collapsed="false">
      <c r="A91" s="8" t="n">
        <v>77</v>
      </c>
      <c r="B91" s="8" t="s">
        <v>273</v>
      </c>
      <c r="C91" s="6" t="s">
        <v>245</v>
      </c>
      <c r="D91" s="13" t="s">
        <v>60</v>
      </c>
      <c r="E91" s="6" t="s">
        <v>246</v>
      </c>
      <c r="F91" s="14" t="n">
        <v>850.5</v>
      </c>
      <c r="G91" s="14" t="n">
        <v>16</v>
      </c>
      <c r="H91" s="14" t="n">
        <v>16</v>
      </c>
      <c r="I91" s="8" t="n">
        <v>1</v>
      </c>
      <c r="J91" s="15" t="n">
        <f aca="false">F91*I91/1000</f>
        <v>0.8505</v>
      </c>
      <c r="K91" s="15"/>
      <c r="L91" s="6"/>
    </row>
    <row r="92" customFormat="false" ht="15" hidden="false" customHeight="true" outlineLevel="0" collapsed="false">
      <c r="A92" s="8" t="n">
        <v>78</v>
      </c>
      <c r="B92" s="8" t="s">
        <v>274</v>
      </c>
      <c r="C92" s="6" t="s">
        <v>245</v>
      </c>
      <c r="D92" s="13" t="s">
        <v>60</v>
      </c>
      <c r="E92" s="6" t="s">
        <v>246</v>
      </c>
      <c r="F92" s="14" t="n">
        <v>806.5</v>
      </c>
      <c r="G92" s="14" t="n">
        <v>16</v>
      </c>
      <c r="H92" s="14" t="n">
        <v>16</v>
      </c>
      <c r="I92" s="8" t="n">
        <v>1</v>
      </c>
      <c r="J92" s="15" t="n">
        <f aca="false">F92*I92/1000</f>
        <v>0.8065</v>
      </c>
      <c r="K92" s="15"/>
      <c r="L92" s="6"/>
    </row>
    <row r="93" customFormat="false" ht="15" hidden="false" customHeight="true" outlineLevel="0" collapsed="false">
      <c r="A93" s="8" t="n">
        <v>79</v>
      </c>
      <c r="B93" s="8" t="s">
        <v>275</v>
      </c>
      <c r="C93" s="6" t="s">
        <v>245</v>
      </c>
      <c r="D93" s="13" t="s">
        <v>60</v>
      </c>
      <c r="E93" s="6" t="s">
        <v>246</v>
      </c>
      <c r="F93" s="14" t="n">
        <v>797.5</v>
      </c>
      <c r="G93" s="14" t="n">
        <v>16</v>
      </c>
      <c r="H93" s="14" t="n">
        <v>16</v>
      </c>
      <c r="I93" s="8" t="n">
        <v>2</v>
      </c>
      <c r="J93" s="15" t="n">
        <f aca="false">F93*I93/1000</f>
        <v>1.595</v>
      </c>
      <c r="K93" s="15"/>
      <c r="L93" s="6"/>
    </row>
    <row r="94" customFormat="false" ht="15" hidden="false" customHeight="true" outlineLevel="0" collapsed="false">
      <c r="A94" s="8" t="n">
        <v>80</v>
      </c>
      <c r="B94" s="8" t="s">
        <v>276</v>
      </c>
      <c r="C94" s="6" t="s">
        <v>245</v>
      </c>
      <c r="D94" s="13" t="s">
        <v>60</v>
      </c>
      <c r="E94" s="6" t="s">
        <v>246</v>
      </c>
      <c r="F94" s="14" t="n">
        <v>780.5</v>
      </c>
      <c r="G94" s="14" t="n">
        <v>16</v>
      </c>
      <c r="H94" s="14" t="n">
        <v>16</v>
      </c>
      <c r="I94" s="8" t="n">
        <v>1</v>
      </c>
      <c r="J94" s="15" t="n">
        <f aca="false">F94*I94/1000</f>
        <v>0.7805</v>
      </c>
      <c r="K94" s="15"/>
      <c r="L94" s="6"/>
    </row>
    <row r="95" customFormat="false" ht="15" hidden="false" customHeight="true" outlineLevel="0" collapsed="false">
      <c r="A95" s="8" t="n">
        <v>81</v>
      </c>
      <c r="B95" s="8" t="s">
        <v>277</v>
      </c>
      <c r="C95" s="6" t="s">
        <v>245</v>
      </c>
      <c r="D95" s="13" t="s">
        <v>60</v>
      </c>
      <c r="E95" s="6" t="s">
        <v>246</v>
      </c>
      <c r="F95" s="14" t="n">
        <v>776</v>
      </c>
      <c r="G95" s="14" t="n">
        <v>16</v>
      </c>
      <c r="H95" s="14" t="n">
        <v>16</v>
      </c>
      <c r="I95" s="8" t="n">
        <v>1</v>
      </c>
      <c r="J95" s="15" t="n">
        <f aca="false">F95*I95/1000</f>
        <v>0.776</v>
      </c>
      <c r="K95" s="15"/>
      <c r="L95" s="6"/>
    </row>
    <row r="96" customFormat="false" ht="15" hidden="false" customHeight="true" outlineLevel="0" collapsed="false">
      <c r="A96" s="8" t="n">
        <v>82</v>
      </c>
      <c r="B96" s="8" t="s">
        <v>278</v>
      </c>
      <c r="C96" s="6" t="s">
        <v>245</v>
      </c>
      <c r="D96" s="13" t="s">
        <v>60</v>
      </c>
      <c r="E96" s="6" t="s">
        <v>246</v>
      </c>
      <c r="F96" s="14" t="n">
        <v>723.5</v>
      </c>
      <c r="G96" s="14" t="n">
        <v>16</v>
      </c>
      <c r="H96" s="14" t="n">
        <v>16</v>
      </c>
      <c r="I96" s="8" t="n">
        <v>1</v>
      </c>
      <c r="J96" s="15" t="n">
        <f aca="false">F96*I96/1000</f>
        <v>0.7235</v>
      </c>
      <c r="K96" s="15"/>
      <c r="L96" s="6"/>
    </row>
    <row r="97" customFormat="false" ht="15" hidden="false" customHeight="true" outlineLevel="0" collapsed="false">
      <c r="A97" s="8" t="n">
        <v>83</v>
      </c>
      <c r="B97" s="8" t="s">
        <v>279</v>
      </c>
      <c r="C97" s="6" t="s">
        <v>245</v>
      </c>
      <c r="D97" s="13" t="s">
        <v>60</v>
      </c>
      <c r="E97" s="6" t="s">
        <v>246</v>
      </c>
      <c r="F97" s="14" t="n">
        <v>660</v>
      </c>
      <c r="G97" s="14" t="n">
        <v>16</v>
      </c>
      <c r="H97" s="14" t="n">
        <v>16</v>
      </c>
      <c r="I97" s="8" t="n">
        <v>1</v>
      </c>
      <c r="J97" s="15" t="n">
        <f aca="false">F97*I97/1000</f>
        <v>0.66</v>
      </c>
      <c r="K97" s="15"/>
      <c r="L97" s="6"/>
    </row>
    <row r="98" customFormat="false" ht="15" hidden="false" customHeight="true" outlineLevel="0" collapsed="false">
      <c r="A98" s="8" t="n">
        <v>84</v>
      </c>
      <c r="B98" s="8" t="s">
        <v>280</v>
      </c>
      <c r="C98" s="6" t="s">
        <v>245</v>
      </c>
      <c r="D98" s="13" t="s">
        <v>60</v>
      </c>
      <c r="E98" s="6" t="s">
        <v>246</v>
      </c>
      <c r="F98" s="14" t="n">
        <v>650.5</v>
      </c>
      <c r="G98" s="14" t="n">
        <v>16</v>
      </c>
      <c r="H98" s="14" t="n">
        <v>16</v>
      </c>
      <c r="I98" s="8" t="n">
        <v>1</v>
      </c>
      <c r="J98" s="15" t="n">
        <f aca="false">F98*I98/1000</f>
        <v>0.6505</v>
      </c>
      <c r="K98" s="15"/>
      <c r="L98" s="6"/>
    </row>
    <row r="99" customFormat="false" ht="15" hidden="false" customHeight="true" outlineLevel="0" collapsed="false">
      <c r="A99" s="8" t="n">
        <v>85</v>
      </c>
      <c r="B99" s="8" t="s">
        <v>281</v>
      </c>
      <c r="C99" s="6" t="s">
        <v>245</v>
      </c>
      <c r="D99" s="13" t="s">
        <v>60</v>
      </c>
      <c r="E99" s="6" t="s">
        <v>246</v>
      </c>
      <c r="F99" s="14" t="n">
        <v>593</v>
      </c>
      <c r="G99" s="14" t="n">
        <v>16</v>
      </c>
      <c r="H99" s="14" t="n">
        <v>16</v>
      </c>
      <c r="I99" s="8" t="n">
        <v>1</v>
      </c>
      <c r="J99" s="15" t="n">
        <f aca="false">F99*I99/1000</f>
        <v>0.593</v>
      </c>
      <c r="K99" s="15"/>
      <c r="L99" s="6"/>
    </row>
    <row r="100" customFormat="false" ht="15" hidden="false" customHeight="true" outlineLevel="0" collapsed="false">
      <c r="A100" s="8" t="n">
        <v>86</v>
      </c>
      <c r="B100" s="8" t="s">
        <v>282</v>
      </c>
      <c r="C100" s="6" t="s">
        <v>245</v>
      </c>
      <c r="D100" s="13" t="s">
        <v>60</v>
      </c>
      <c r="E100" s="6" t="s">
        <v>246</v>
      </c>
      <c r="F100" s="14" t="n">
        <v>461</v>
      </c>
      <c r="G100" s="14" t="n">
        <v>16</v>
      </c>
      <c r="H100" s="14" t="n">
        <v>16</v>
      </c>
      <c r="I100" s="8" t="n">
        <v>1</v>
      </c>
      <c r="J100" s="15" t="n">
        <f aca="false">F100*I100/1000</f>
        <v>0.461</v>
      </c>
      <c r="K100" s="15"/>
      <c r="L100" s="6"/>
    </row>
    <row r="101" customFormat="false" ht="15" hidden="false" customHeight="true" outlineLevel="0" collapsed="false">
      <c r="A101" s="8" t="n">
        <v>87</v>
      </c>
      <c r="B101" s="8" t="s">
        <v>283</v>
      </c>
      <c r="C101" s="6" t="s">
        <v>245</v>
      </c>
      <c r="D101" s="13" t="s">
        <v>60</v>
      </c>
      <c r="E101" s="6" t="s">
        <v>246</v>
      </c>
      <c r="F101" s="14" t="n">
        <v>445</v>
      </c>
      <c r="G101" s="14" t="n">
        <v>16</v>
      </c>
      <c r="H101" s="14" t="n">
        <v>16</v>
      </c>
      <c r="I101" s="8" t="n">
        <v>1</v>
      </c>
      <c r="J101" s="15" t="n">
        <f aca="false">F101*I101/1000</f>
        <v>0.445</v>
      </c>
      <c r="K101" s="15"/>
      <c r="L101" s="6"/>
    </row>
    <row r="102" customFormat="false" ht="15" hidden="false" customHeight="true" outlineLevel="0" collapsed="false">
      <c r="A102" s="8" t="n">
        <v>88</v>
      </c>
      <c r="B102" s="8" t="s">
        <v>284</v>
      </c>
      <c r="C102" s="6" t="s">
        <v>245</v>
      </c>
      <c r="D102" s="13" t="s">
        <v>60</v>
      </c>
      <c r="E102" s="6" t="s">
        <v>246</v>
      </c>
      <c r="F102" s="14" t="n">
        <v>366</v>
      </c>
      <c r="G102" s="14" t="n">
        <v>16</v>
      </c>
      <c r="H102" s="14" t="n">
        <v>16</v>
      </c>
      <c r="I102" s="8" t="n">
        <v>1</v>
      </c>
      <c r="J102" s="15" t="n">
        <f aca="false">F102*I102/1000</f>
        <v>0.366</v>
      </c>
      <c r="K102" s="15"/>
      <c r="L102" s="6"/>
    </row>
    <row r="103" customFormat="false" ht="15" hidden="false" customHeight="true" outlineLevel="0" collapsed="false">
      <c r="A103" s="8" t="n">
        <v>89</v>
      </c>
      <c r="B103" s="8" t="s">
        <v>285</v>
      </c>
      <c r="C103" s="6" t="s">
        <v>245</v>
      </c>
      <c r="D103" s="13" t="s">
        <v>60</v>
      </c>
      <c r="E103" s="6" t="s">
        <v>246</v>
      </c>
      <c r="F103" s="14" t="n">
        <v>357.5</v>
      </c>
      <c r="G103" s="14" t="n">
        <v>16</v>
      </c>
      <c r="H103" s="14" t="n">
        <v>16</v>
      </c>
      <c r="I103" s="8" t="n">
        <v>1</v>
      </c>
      <c r="J103" s="15" t="n">
        <f aca="false">F103*I103/1000</f>
        <v>0.3575</v>
      </c>
      <c r="K103" s="15"/>
      <c r="L103" s="6"/>
    </row>
    <row r="104" customFormat="false" ht="15" hidden="false" customHeight="true" outlineLevel="0" collapsed="false">
      <c r="A104" s="8" t="n">
        <v>90</v>
      </c>
      <c r="B104" s="8" t="s">
        <v>286</v>
      </c>
      <c r="C104" s="6" t="s">
        <v>245</v>
      </c>
      <c r="D104" s="13" t="s">
        <v>60</v>
      </c>
      <c r="E104" s="6" t="s">
        <v>246</v>
      </c>
      <c r="F104" s="14" t="n">
        <v>297</v>
      </c>
      <c r="G104" s="14" t="n">
        <v>16</v>
      </c>
      <c r="H104" s="14" t="n">
        <v>16</v>
      </c>
      <c r="I104" s="8" t="n">
        <v>1</v>
      </c>
      <c r="J104" s="15" t="n">
        <f aca="false">F104*I104/1000</f>
        <v>0.297</v>
      </c>
      <c r="K104" s="15"/>
      <c r="L104" s="6"/>
    </row>
    <row r="105" customFormat="false" ht="15" hidden="false" customHeight="true" outlineLevel="0" collapsed="false">
      <c r="A105" s="8" t="n">
        <v>91</v>
      </c>
      <c r="B105" s="8" t="s">
        <v>287</v>
      </c>
      <c r="C105" s="6" t="s">
        <v>245</v>
      </c>
      <c r="D105" s="13" t="s">
        <v>60</v>
      </c>
      <c r="E105" s="6" t="s">
        <v>246</v>
      </c>
      <c r="F105" s="14" t="n">
        <v>269.5</v>
      </c>
      <c r="G105" s="14" t="n">
        <v>16</v>
      </c>
      <c r="H105" s="14" t="n">
        <v>16</v>
      </c>
      <c r="I105" s="8" t="n">
        <v>8</v>
      </c>
      <c r="J105" s="15" t="n">
        <f aca="false">F105*I105/1000</f>
        <v>2.156</v>
      </c>
      <c r="K105" s="15"/>
      <c r="L105" s="6"/>
    </row>
    <row r="106" customFormat="false" ht="15" hidden="false" customHeight="true" outlineLevel="0" collapsed="false">
      <c r="A106" s="8" t="n">
        <v>92</v>
      </c>
      <c r="B106" s="8" t="s">
        <v>288</v>
      </c>
      <c r="C106" s="6" t="s">
        <v>245</v>
      </c>
      <c r="D106" s="13" t="s">
        <v>60</v>
      </c>
      <c r="E106" s="6" t="s">
        <v>246</v>
      </c>
      <c r="F106" s="14" t="n">
        <v>262</v>
      </c>
      <c r="G106" s="14" t="n">
        <v>16</v>
      </c>
      <c r="H106" s="14" t="n">
        <v>16</v>
      </c>
      <c r="I106" s="8" t="n">
        <v>1</v>
      </c>
      <c r="J106" s="15" t="n">
        <f aca="false">F106*I106/1000</f>
        <v>0.262</v>
      </c>
      <c r="K106" s="15"/>
      <c r="L106" s="6"/>
    </row>
    <row r="107" customFormat="false" ht="15" hidden="false" customHeight="true" outlineLevel="0" collapsed="false">
      <c r="A107" s="8" t="n">
        <v>93</v>
      </c>
      <c r="B107" s="8" t="s">
        <v>289</v>
      </c>
      <c r="C107" s="6" t="s">
        <v>245</v>
      </c>
      <c r="D107" s="13" t="s">
        <v>60</v>
      </c>
      <c r="E107" s="6" t="s">
        <v>246</v>
      </c>
      <c r="F107" s="14" t="n">
        <v>261.5</v>
      </c>
      <c r="G107" s="14" t="n">
        <v>16</v>
      </c>
      <c r="H107" s="14" t="n">
        <v>16</v>
      </c>
      <c r="I107" s="8" t="n">
        <v>1</v>
      </c>
      <c r="J107" s="15" t="n">
        <f aca="false">F107*I107/1000</f>
        <v>0.2615</v>
      </c>
      <c r="K107" s="15"/>
      <c r="L107" s="6"/>
    </row>
    <row r="108" customFormat="false" ht="15" hidden="false" customHeight="true" outlineLevel="0" collapsed="false">
      <c r="A108" s="8" t="n">
        <v>94</v>
      </c>
      <c r="B108" s="8" t="s">
        <v>290</v>
      </c>
      <c r="C108" s="6" t="s">
        <v>245</v>
      </c>
      <c r="D108" s="13" t="s">
        <v>60</v>
      </c>
      <c r="E108" s="6" t="s">
        <v>246</v>
      </c>
      <c r="F108" s="14" t="n">
        <v>166.5</v>
      </c>
      <c r="G108" s="14" t="n">
        <v>16</v>
      </c>
      <c r="H108" s="14" t="n">
        <v>16</v>
      </c>
      <c r="I108" s="8" t="n">
        <v>1</v>
      </c>
      <c r="J108" s="15" t="n">
        <f aca="false">F108*I108/1000</f>
        <v>0.1665</v>
      </c>
      <c r="K108" s="15"/>
      <c r="L108" s="6"/>
    </row>
    <row r="109" customFormat="false" ht="15" hidden="false" customHeight="true" outlineLevel="0" collapsed="false">
      <c r="A109" s="8" t="n">
        <v>95</v>
      </c>
      <c r="B109" s="8" t="s">
        <v>291</v>
      </c>
      <c r="C109" s="6" t="s">
        <v>245</v>
      </c>
      <c r="D109" s="13" t="s">
        <v>60</v>
      </c>
      <c r="E109" s="6" t="s">
        <v>246</v>
      </c>
      <c r="F109" s="14" t="n">
        <v>165</v>
      </c>
      <c r="G109" s="14" t="n">
        <v>16</v>
      </c>
      <c r="H109" s="14" t="n">
        <v>16</v>
      </c>
      <c r="I109" s="8" t="n">
        <v>6</v>
      </c>
      <c r="J109" s="15" t="n">
        <f aca="false">F109*I109/1000</f>
        <v>0.99</v>
      </c>
      <c r="K109" s="15"/>
      <c r="L109" s="6"/>
    </row>
    <row r="110" customFormat="false" ht="15" hidden="false" customHeight="true" outlineLevel="0" collapsed="false">
      <c r="A110" s="8" t="n">
        <v>96</v>
      </c>
      <c r="B110" s="8" t="s">
        <v>292</v>
      </c>
      <c r="C110" s="6" t="s">
        <v>245</v>
      </c>
      <c r="D110" s="13" t="s">
        <v>60</v>
      </c>
      <c r="E110" s="6" t="s">
        <v>246</v>
      </c>
      <c r="F110" s="14" t="n">
        <v>74.5</v>
      </c>
      <c r="G110" s="14" t="n">
        <v>16</v>
      </c>
      <c r="H110" s="14" t="n">
        <v>16</v>
      </c>
      <c r="I110" s="8" t="n">
        <v>2</v>
      </c>
      <c r="J110" s="15" t="n">
        <f aca="false">F110*I110/1000</f>
        <v>0.149</v>
      </c>
      <c r="K110" s="15"/>
      <c r="L110" s="6"/>
    </row>
    <row r="111" customFormat="false" ht="15" hidden="false" customHeight="true" outlineLevel="0" collapsed="false">
      <c r="A111" s="8" t="n">
        <v>97</v>
      </c>
      <c r="B111" s="8" t="s">
        <v>293</v>
      </c>
      <c r="C111" s="6" t="s">
        <v>245</v>
      </c>
      <c r="D111" s="13" t="s">
        <v>60</v>
      </c>
      <c r="E111" s="6" t="s">
        <v>246</v>
      </c>
      <c r="F111" s="14" t="n">
        <v>62.5</v>
      </c>
      <c r="G111" s="14" t="n">
        <v>16</v>
      </c>
      <c r="H111" s="14" t="n">
        <v>16</v>
      </c>
      <c r="I111" s="8" t="n">
        <v>1</v>
      </c>
      <c r="J111" s="15" t="n">
        <f aca="false">F111*I111/1000</f>
        <v>0.0625</v>
      </c>
      <c r="K111" s="15"/>
      <c r="L111" s="6"/>
    </row>
    <row r="112" customFormat="false" ht="15" hidden="false" customHeight="true" outlineLevel="0" collapsed="false">
      <c r="A112" s="8" t="n">
        <v>98</v>
      </c>
      <c r="B112" s="8" t="s">
        <v>294</v>
      </c>
      <c r="C112" s="6" t="s">
        <v>261</v>
      </c>
      <c r="D112" s="16" t="s">
        <v>172</v>
      </c>
      <c r="E112" s="6" t="s">
        <v>173</v>
      </c>
      <c r="F112" s="14" t="n">
        <v>2298</v>
      </c>
      <c r="G112" s="14" t="n">
        <v>1016</v>
      </c>
      <c r="H112" s="14" t="n">
        <v>3</v>
      </c>
      <c r="I112" s="8" t="n">
        <v>1</v>
      </c>
      <c r="J112" s="15"/>
      <c r="K112" s="15" t="n">
        <f aca="false">F112*G112*I112/1000000</f>
        <v>2.334768</v>
      </c>
      <c r="L112" s="6" t="s">
        <v>263</v>
      </c>
    </row>
    <row r="113" customFormat="false" ht="15" hidden="false" customHeight="true" outlineLevel="0" collapsed="false">
      <c r="A113" s="8" t="n">
        <v>99</v>
      </c>
      <c r="B113" s="8" t="s">
        <v>295</v>
      </c>
      <c r="C113" s="6" t="s">
        <v>261</v>
      </c>
      <c r="D113" s="16" t="s">
        <v>172</v>
      </c>
      <c r="E113" s="6" t="s">
        <v>173</v>
      </c>
      <c r="F113" s="14" t="n">
        <v>1438.5</v>
      </c>
      <c r="G113" s="14" t="n">
        <v>205</v>
      </c>
      <c r="H113" s="14" t="n">
        <v>3</v>
      </c>
      <c r="I113" s="8" t="n">
        <v>1</v>
      </c>
      <c r="J113" s="15"/>
      <c r="K113" s="15" t="n">
        <f aca="false">F113*G113*I113/1000000</f>
        <v>0.2948925</v>
      </c>
      <c r="L113" s="6"/>
    </row>
    <row r="114" customFormat="false" ht="15" hidden="false" customHeight="true" outlineLevel="0" collapsed="false">
      <c r="A114" s="8" t="n">
        <v>100</v>
      </c>
      <c r="B114" s="8" t="s">
        <v>296</v>
      </c>
      <c r="C114" s="6" t="s">
        <v>261</v>
      </c>
      <c r="D114" s="16" t="s">
        <v>172</v>
      </c>
      <c r="E114" s="6" t="s">
        <v>173</v>
      </c>
      <c r="F114" s="14" t="n">
        <v>794</v>
      </c>
      <c r="G114" s="14" t="n">
        <v>205</v>
      </c>
      <c r="H114" s="14" t="n">
        <v>3</v>
      </c>
      <c r="I114" s="8" t="n">
        <v>1</v>
      </c>
      <c r="J114" s="15"/>
      <c r="K114" s="15" t="n">
        <f aca="false">F114*G114*I114/1000000</f>
        <v>0.16277</v>
      </c>
      <c r="L114" s="6"/>
    </row>
    <row r="115" customFormat="false" ht="15" hidden="false" customHeight="true" outlineLevel="0" collapsed="false">
      <c r="A115" s="8" t="n">
        <v>101</v>
      </c>
      <c r="B115" s="8" t="s">
        <v>297</v>
      </c>
      <c r="C115" s="6" t="s">
        <v>261</v>
      </c>
      <c r="D115" s="16" t="s">
        <v>172</v>
      </c>
      <c r="E115" s="6" t="s">
        <v>173</v>
      </c>
      <c r="F115" s="14" t="n">
        <v>294.5</v>
      </c>
      <c r="G115" s="14" t="n">
        <v>201</v>
      </c>
      <c r="H115" s="14" t="n">
        <v>3</v>
      </c>
      <c r="I115" s="8" t="n">
        <v>1</v>
      </c>
      <c r="J115" s="15"/>
      <c r="K115" s="15" t="n">
        <f aca="false">F115*G115*I115/1000000</f>
        <v>0.0591945</v>
      </c>
      <c r="L115" s="6" t="s">
        <v>263</v>
      </c>
    </row>
    <row r="116" customFormat="false" ht="15" hidden="false" customHeight="true" outlineLevel="0" collapsed="false">
      <c r="A116" s="8" t="n">
        <v>102</v>
      </c>
      <c r="B116" s="8" t="s">
        <v>298</v>
      </c>
      <c r="C116" s="6" t="s">
        <v>261</v>
      </c>
      <c r="D116" s="16" t="s">
        <v>172</v>
      </c>
      <c r="E116" s="6" t="s">
        <v>173</v>
      </c>
      <c r="F116" s="14" t="n">
        <v>199</v>
      </c>
      <c r="G116" s="14" t="n">
        <v>78</v>
      </c>
      <c r="H116" s="14" t="n">
        <v>3</v>
      </c>
      <c r="I116" s="8" t="n">
        <v>1</v>
      </c>
      <c r="J116" s="15"/>
      <c r="K116" s="15" t="n">
        <f aca="false">F116*G116*I116/1000000</f>
        <v>0.015522</v>
      </c>
      <c r="L116" s="6"/>
    </row>
    <row r="117" customFormat="false" ht="23.25" hidden="false" customHeight="true" outlineLevel="0" collapsed="false">
      <c r="A117" s="8" t="n">
        <v>103</v>
      </c>
      <c r="B117" s="8" t="s">
        <v>299</v>
      </c>
      <c r="C117" s="6" t="s">
        <v>265</v>
      </c>
      <c r="D117" s="16" t="s">
        <v>172</v>
      </c>
      <c r="E117" s="6" t="s">
        <v>173</v>
      </c>
      <c r="F117" s="14" t="n">
        <v>2302</v>
      </c>
      <c r="G117" s="14" t="n">
        <v>500</v>
      </c>
      <c r="H117" s="14" t="n">
        <v>205</v>
      </c>
      <c r="I117" s="8" t="n">
        <v>1</v>
      </c>
      <c r="J117" s="15"/>
      <c r="K117" s="15" t="n">
        <f aca="false">1.26*I117</f>
        <v>1.26</v>
      </c>
      <c r="L117" s="6" t="s">
        <v>266</v>
      </c>
    </row>
    <row r="118" customFormat="false" ht="23.25" hidden="false" customHeight="true" outlineLevel="0" collapsed="false">
      <c r="A118" s="8" t="n">
        <v>104</v>
      </c>
      <c r="B118" s="8" t="s">
        <v>300</v>
      </c>
      <c r="C118" s="6" t="s">
        <v>265</v>
      </c>
      <c r="D118" s="16" t="s">
        <v>172</v>
      </c>
      <c r="E118" s="6" t="s">
        <v>173</v>
      </c>
      <c r="F118" s="14" t="n">
        <v>902.5</v>
      </c>
      <c r="G118" s="14" t="n">
        <v>520</v>
      </c>
      <c r="H118" s="14" t="n">
        <v>154.9</v>
      </c>
      <c r="I118" s="8" t="n">
        <v>1</v>
      </c>
      <c r="J118" s="15"/>
      <c r="K118" s="15" t="n">
        <f aca="false">0.32*I118</f>
        <v>0.32</v>
      </c>
      <c r="L118" s="6" t="s">
        <v>266</v>
      </c>
    </row>
    <row r="119" customFormat="false" ht="15" hidden="false" customHeight="true" outlineLevel="0" collapsed="false">
      <c r="A119" s="8" t="n">
        <v>105</v>
      </c>
      <c r="B119" s="8" t="s">
        <v>301</v>
      </c>
      <c r="C119" s="6" t="s">
        <v>176</v>
      </c>
      <c r="D119" s="13" t="s">
        <v>60</v>
      </c>
      <c r="E119" s="6" t="s">
        <v>268</v>
      </c>
      <c r="F119" s="14" t="n">
        <v>50</v>
      </c>
      <c r="G119" s="14" t="n">
        <v>20</v>
      </c>
      <c r="H119" s="14" t="n">
        <v>2</v>
      </c>
      <c r="I119" s="8" t="n">
        <v>5</v>
      </c>
      <c r="J119" s="15"/>
      <c r="K119" s="15"/>
      <c r="L119" s="6"/>
    </row>
    <row r="120" customFormat="false" ht="15" hidden="false" customHeight="true" outlineLevel="0" collapsed="false">
      <c r="A120" s="12" t="s">
        <v>302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customFormat="false" ht="15" hidden="false" customHeight="true" outlineLevel="0" collapsed="false">
      <c r="A121" s="8" t="n">
        <v>106</v>
      </c>
      <c r="B121" s="8" t="s">
        <v>303</v>
      </c>
      <c r="C121" s="6" t="s">
        <v>245</v>
      </c>
      <c r="D121" s="13" t="s">
        <v>60</v>
      </c>
      <c r="E121" s="6" t="s">
        <v>246</v>
      </c>
      <c r="F121" s="14" t="n">
        <v>1679.5</v>
      </c>
      <c r="G121" s="14" t="n">
        <v>16</v>
      </c>
      <c r="H121" s="14" t="n">
        <v>16</v>
      </c>
      <c r="I121" s="8" t="n">
        <v>1</v>
      </c>
      <c r="J121" s="15" t="n">
        <f aca="false">F121*I121/1000</f>
        <v>1.6795</v>
      </c>
      <c r="K121" s="15"/>
      <c r="L121" s="6"/>
    </row>
    <row r="122" customFormat="false" ht="15" hidden="false" customHeight="true" outlineLevel="0" collapsed="false">
      <c r="A122" s="8" t="n">
        <v>107</v>
      </c>
      <c r="B122" s="8" t="s">
        <v>304</v>
      </c>
      <c r="C122" s="6" t="s">
        <v>245</v>
      </c>
      <c r="D122" s="13" t="s">
        <v>60</v>
      </c>
      <c r="E122" s="6" t="s">
        <v>246</v>
      </c>
      <c r="F122" s="14" t="n">
        <v>1364</v>
      </c>
      <c r="G122" s="14" t="n">
        <v>16</v>
      </c>
      <c r="H122" s="14" t="n">
        <v>16</v>
      </c>
      <c r="I122" s="8" t="n">
        <v>1</v>
      </c>
      <c r="J122" s="15" t="n">
        <f aca="false">F122*I122/1000</f>
        <v>1.364</v>
      </c>
      <c r="K122" s="15"/>
      <c r="L122" s="6"/>
    </row>
    <row r="123" customFormat="false" ht="15" hidden="false" customHeight="true" outlineLevel="0" collapsed="false">
      <c r="A123" s="8" t="n">
        <v>108</v>
      </c>
      <c r="B123" s="8" t="s">
        <v>305</v>
      </c>
      <c r="C123" s="6" t="s">
        <v>245</v>
      </c>
      <c r="D123" s="13" t="s">
        <v>60</v>
      </c>
      <c r="E123" s="6" t="s">
        <v>246</v>
      </c>
      <c r="F123" s="14" t="n">
        <v>1177.5</v>
      </c>
      <c r="G123" s="14" t="n">
        <v>16</v>
      </c>
      <c r="H123" s="14" t="n">
        <v>16</v>
      </c>
      <c r="I123" s="8" t="n">
        <v>1</v>
      </c>
      <c r="J123" s="15" t="n">
        <f aca="false">F123*I123/1000</f>
        <v>1.1775</v>
      </c>
      <c r="K123" s="15"/>
      <c r="L123" s="6"/>
    </row>
    <row r="124" customFormat="false" ht="15" hidden="false" customHeight="true" outlineLevel="0" collapsed="false">
      <c r="A124" s="8" t="n">
        <v>109</v>
      </c>
      <c r="B124" s="8" t="s">
        <v>306</v>
      </c>
      <c r="C124" s="6" t="s">
        <v>245</v>
      </c>
      <c r="D124" s="13" t="s">
        <v>60</v>
      </c>
      <c r="E124" s="6" t="s">
        <v>246</v>
      </c>
      <c r="F124" s="14" t="n">
        <v>1176</v>
      </c>
      <c r="G124" s="14" t="n">
        <v>16</v>
      </c>
      <c r="H124" s="14" t="n">
        <v>16</v>
      </c>
      <c r="I124" s="8" t="n">
        <v>1</v>
      </c>
      <c r="J124" s="15" t="n">
        <f aca="false">F124*I124/1000</f>
        <v>1.176</v>
      </c>
      <c r="K124" s="15"/>
      <c r="L124" s="6"/>
    </row>
    <row r="125" customFormat="false" ht="15" hidden="false" customHeight="true" outlineLevel="0" collapsed="false">
      <c r="A125" s="8" t="n">
        <v>110</v>
      </c>
      <c r="B125" s="8" t="s">
        <v>307</v>
      </c>
      <c r="C125" s="6" t="s">
        <v>245</v>
      </c>
      <c r="D125" s="13" t="s">
        <v>60</v>
      </c>
      <c r="E125" s="6" t="s">
        <v>246</v>
      </c>
      <c r="F125" s="14" t="n">
        <v>812</v>
      </c>
      <c r="G125" s="14" t="n">
        <v>16</v>
      </c>
      <c r="H125" s="14" t="n">
        <v>16</v>
      </c>
      <c r="I125" s="8" t="n">
        <v>1</v>
      </c>
      <c r="J125" s="15" t="n">
        <f aca="false">F125*I125/1000</f>
        <v>0.812</v>
      </c>
      <c r="K125" s="15"/>
      <c r="L125" s="6"/>
    </row>
    <row r="126" customFormat="false" ht="15" hidden="false" customHeight="true" outlineLevel="0" collapsed="false">
      <c r="A126" s="8" t="n">
        <v>111</v>
      </c>
      <c r="B126" s="8" t="s">
        <v>308</v>
      </c>
      <c r="C126" s="6" t="s">
        <v>245</v>
      </c>
      <c r="D126" s="13" t="s">
        <v>60</v>
      </c>
      <c r="E126" s="6" t="s">
        <v>246</v>
      </c>
      <c r="F126" s="14" t="n">
        <v>712.5</v>
      </c>
      <c r="G126" s="14" t="n">
        <v>16</v>
      </c>
      <c r="H126" s="14" t="n">
        <v>16</v>
      </c>
      <c r="I126" s="8" t="n">
        <v>1</v>
      </c>
      <c r="J126" s="15" t="n">
        <f aca="false">F126*I126/1000</f>
        <v>0.7125</v>
      </c>
      <c r="K126" s="15"/>
      <c r="L126" s="6"/>
    </row>
    <row r="127" customFormat="false" ht="15" hidden="false" customHeight="true" outlineLevel="0" collapsed="false">
      <c r="A127" s="8" t="n">
        <v>112</v>
      </c>
      <c r="B127" s="8" t="s">
        <v>309</v>
      </c>
      <c r="C127" s="6" t="s">
        <v>245</v>
      </c>
      <c r="D127" s="13" t="s">
        <v>60</v>
      </c>
      <c r="E127" s="6" t="s">
        <v>246</v>
      </c>
      <c r="F127" s="14" t="n">
        <v>362</v>
      </c>
      <c r="G127" s="14" t="n">
        <v>16</v>
      </c>
      <c r="H127" s="14" t="n">
        <v>16</v>
      </c>
      <c r="I127" s="8" t="n">
        <v>1</v>
      </c>
      <c r="J127" s="15" t="n">
        <f aca="false">F127*I127/1000</f>
        <v>0.362</v>
      </c>
      <c r="K127" s="15"/>
      <c r="L127" s="6"/>
    </row>
    <row r="128" customFormat="false" ht="15" hidden="false" customHeight="true" outlineLevel="0" collapsed="false">
      <c r="A128" s="8" t="n">
        <v>113</v>
      </c>
      <c r="B128" s="8" t="s">
        <v>310</v>
      </c>
      <c r="C128" s="6" t="s">
        <v>245</v>
      </c>
      <c r="D128" s="13" t="s">
        <v>60</v>
      </c>
      <c r="E128" s="6" t="s">
        <v>246</v>
      </c>
      <c r="F128" s="14" t="n">
        <v>274.5</v>
      </c>
      <c r="G128" s="14" t="n">
        <v>16</v>
      </c>
      <c r="H128" s="14" t="n">
        <v>16</v>
      </c>
      <c r="I128" s="8" t="n">
        <v>1</v>
      </c>
      <c r="J128" s="15" t="n">
        <f aca="false">F128*I128/1000</f>
        <v>0.2745</v>
      </c>
      <c r="K128" s="15"/>
      <c r="L128" s="6"/>
    </row>
    <row r="129" customFormat="false" ht="15" hidden="false" customHeight="true" outlineLevel="0" collapsed="false">
      <c r="A129" s="8" t="n">
        <v>114</v>
      </c>
      <c r="B129" s="8" t="s">
        <v>311</v>
      </c>
      <c r="C129" s="6" t="s">
        <v>245</v>
      </c>
      <c r="D129" s="13" t="s">
        <v>60</v>
      </c>
      <c r="E129" s="6" t="s">
        <v>246</v>
      </c>
      <c r="F129" s="14" t="n">
        <v>240</v>
      </c>
      <c r="G129" s="14" t="n">
        <v>16</v>
      </c>
      <c r="H129" s="14" t="n">
        <v>16</v>
      </c>
      <c r="I129" s="8" t="n">
        <v>1</v>
      </c>
      <c r="J129" s="15" t="n">
        <f aca="false">F129*I129/1000</f>
        <v>0.24</v>
      </c>
      <c r="K129" s="15"/>
      <c r="L129" s="6"/>
    </row>
    <row r="130" customFormat="false" ht="15" hidden="false" customHeight="true" outlineLevel="0" collapsed="false">
      <c r="A130" s="8" t="n">
        <v>115</v>
      </c>
      <c r="B130" s="8" t="s">
        <v>312</v>
      </c>
      <c r="C130" s="6" t="s">
        <v>245</v>
      </c>
      <c r="D130" s="13" t="s">
        <v>60</v>
      </c>
      <c r="E130" s="6" t="s">
        <v>246</v>
      </c>
      <c r="F130" s="14" t="n">
        <v>231</v>
      </c>
      <c r="G130" s="14" t="n">
        <v>16</v>
      </c>
      <c r="H130" s="14" t="n">
        <v>16</v>
      </c>
      <c r="I130" s="8" t="n">
        <v>1</v>
      </c>
      <c r="J130" s="15" t="n">
        <f aca="false">F130*I130/1000</f>
        <v>0.231</v>
      </c>
      <c r="K130" s="15"/>
      <c r="L130" s="6"/>
    </row>
    <row r="131" customFormat="false" ht="15" hidden="false" customHeight="true" outlineLevel="0" collapsed="false">
      <c r="A131" s="8" t="n">
        <v>116</v>
      </c>
      <c r="B131" s="8" t="s">
        <v>313</v>
      </c>
      <c r="C131" s="6" t="s">
        <v>245</v>
      </c>
      <c r="D131" s="13" t="s">
        <v>60</v>
      </c>
      <c r="E131" s="6" t="s">
        <v>246</v>
      </c>
      <c r="F131" s="14" t="n">
        <v>165</v>
      </c>
      <c r="G131" s="14" t="n">
        <v>16</v>
      </c>
      <c r="H131" s="14" t="n">
        <v>16</v>
      </c>
      <c r="I131" s="8" t="n">
        <v>1</v>
      </c>
      <c r="J131" s="15" t="n">
        <f aca="false">F131*I131/1000</f>
        <v>0.165</v>
      </c>
      <c r="K131" s="15"/>
      <c r="L131" s="6"/>
    </row>
    <row r="132" customFormat="false" ht="15" hidden="false" customHeight="true" outlineLevel="0" collapsed="false">
      <c r="A132" s="8" t="n">
        <v>117</v>
      </c>
      <c r="B132" s="8" t="s">
        <v>314</v>
      </c>
      <c r="C132" s="6" t="s">
        <v>245</v>
      </c>
      <c r="D132" s="13" t="s">
        <v>60</v>
      </c>
      <c r="E132" s="6" t="s">
        <v>246</v>
      </c>
      <c r="F132" s="14" t="n">
        <v>164.5</v>
      </c>
      <c r="G132" s="14" t="n">
        <v>16</v>
      </c>
      <c r="H132" s="14" t="n">
        <v>16</v>
      </c>
      <c r="I132" s="8" t="n">
        <v>1</v>
      </c>
      <c r="J132" s="15" t="n">
        <f aca="false">F132*I132/1000</f>
        <v>0.1645</v>
      </c>
      <c r="K132" s="15"/>
      <c r="L132" s="6"/>
    </row>
    <row r="133" customFormat="false" ht="15" hidden="false" customHeight="true" outlineLevel="0" collapsed="false">
      <c r="A133" s="8" t="n">
        <v>118</v>
      </c>
      <c r="B133" s="8" t="s">
        <v>315</v>
      </c>
      <c r="C133" s="6" t="s">
        <v>245</v>
      </c>
      <c r="D133" s="13" t="s">
        <v>60</v>
      </c>
      <c r="E133" s="6" t="s">
        <v>246</v>
      </c>
      <c r="F133" s="14" t="n">
        <v>125</v>
      </c>
      <c r="G133" s="14" t="n">
        <v>16</v>
      </c>
      <c r="H133" s="14" t="n">
        <v>16</v>
      </c>
      <c r="I133" s="8" t="n">
        <v>2</v>
      </c>
      <c r="J133" s="15" t="n">
        <f aca="false">F133*I133/1000</f>
        <v>0.25</v>
      </c>
      <c r="K133" s="15"/>
      <c r="L133" s="6"/>
    </row>
    <row r="134" customFormat="false" ht="15" hidden="false" customHeight="true" outlineLevel="0" collapsed="false">
      <c r="A134" s="8" t="n">
        <v>119</v>
      </c>
      <c r="B134" s="8" t="s">
        <v>316</v>
      </c>
      <c r="C134" s="6" t="s">
        <v>245</v>
      </c>
      <c r="D134" s="13" t="s">
        <v>60</v>
      </c>
      <c r="E134" s="6" t="s">
        <v>246</v>
      </c>
      <c r="F134" s="14" t="n">
        <v>87.5</v>
      </c>
      <c r="G134" s="14" t="n">
        <v>16</v>
      </c>
      <c r="H134" s="14" t="n">
        <v>16</v>
      </c>
      <c r="I134" s="8" t="n">
        <v>1</v>
      </c>
      <c r="J134" s="15" t="n">
        <f aca="false">F134*I134/1000</f>
        <v>0.0875</v>
      </c>
      <c r="K134" s="15"/>
      <c r="L134" s="6"/>
    </row>
    <row r="135" customFormat="false" ht="15" hidden="false" customHeight="true" outlineLevel="0" collapsed="false">
      <c r="A135" s="8" t="n">
        <v>120</v>
      </c>
      <c r="B135" s="8" t="s">
        <v>317</v>
      </c>
      <c r="C135" s="6" t="s">
        <v>245</v>
      </c>
      <c r="D135" s="13" t="s">
        <v>60</v>
      </c>
      <c r="E135" s="6" t="s">
        <v>246</v>
      </c>
      <c r="F135" s="14" t="n">
        <v>83</v>
      </c>
      <c r="G135" s="14" t="n">
        <v>16</v>
      </c>
      <c r="H135" s="14" t="n">
        <v>16</v>
      </c>
      <c r="I135" s="8" t="n">
        <v>2</v>
      </c>
      <c r="J135" s="15" t="n">
        <f aca="false">F135*I135/1000</f>
        <v>0.166</v>
      </c>
      <c r="K135" s="15"/>
      <c r="L135" s="6"/>
    </row>
    <row r="136" customFormat="false" ht="15" hidden="false" customHeight="true" outlineLevel="0" collapsed="false">
      <c r="A136" s="8" t="n">
        <v>121</v>
      </c>
      <c r="B136" s="8" t="s">
        <v>318</v>
      </c>
      <c r="C136" s="6" t="s">
        <v>245</v>
      </c>
      <c r="D136" s="13" t="s">
        <v>60</v>
      </c>
      <c r="E136" s="6" t="s">
        <v>246</v>
      </c>
      <c r="F136" s="14" t="n">
        <v>75.5</v>
      </c>
      <c r="G136" s="14" t="n">
        <v>16</v>
      </c>
      <c r="H136" s="14" t="n">
        <v>16</v>
      </c>
      <c r="I136" s="8" t="n">
        <v>1</v>
      </c>
      <c r="J136" s="15" t="n">
        <f aca="false">F136*I136/1000</f>
        <v>0.0755</v>
      </c>
      <c r="K136" s="15"/>
      <c r="L136" s="6"/>
    </row>
    <row r="137" customFormat="false" ht="15" hidden="false" customHeight="true" outlineLevel="0" collapsed="false">
      <c r="A137" s="8" t="n">
        <v>122</v>
      </c>
      <c r="B137" s="8" t="s">
        <v>319</v>
      </c>
      <c r="C137" s="6" t="s">
        <v>245</v>
      </c>
      <c r="D137" s="13" t="s">
        <v>60</v>
      </c>
      <c r="E137" s="6" t="s">
        <v>246</v>
      </c>
      <c r="F137" s="14" t="n">
        <v>71</v>
      </c>
      <c r="G137" s="14" t="n">
        <v>16</v>
      </c>
      <c r="H137" s="14" t="n">
        <v>16</v>
      </c>
      <c r="I137" s="8" t="n">
        <v>1</v>
      </c>
      <c r="J137" s="15" t="n">
        <f aca="false">F137*I137/1000</f>
        <v>0.071</v>
      </c>
      <c r="K137" s="15"/>
      <c r="L137" s="6"/>
    </row>
    <row r="138" customFormat="false" ht="15" hidden="false" customHeight="true" outlineLevel="0" collapsed="false">
      <c r="A138" s="8" t="n">
        <v>123</v>
      </c>
      <c r="B138" s="8" t="s">
        <v>320</v>
      </c>
      <c r="C138" s="6" t="s">
        <v>261</v>
      </c>
      <c r="D138" s="16" t="s">
        <v>172</v>
      </c>
      <c r="E138" s="6" t="s">
        <v>173</v>
      </c>
      <c r="F138" s="14" t="n">
        <v>1691</v>
      </c>
      <c r="G138" s="14" t="n">
        <v>275.9</v>
      </c>
      <c r="H138" s="14" t="n">
        <v>3</v>
      </c>
      <c r="I138" s="8" t="n">
        <v>1</v>
      </c>
      <c r="J138" s="15"/>
      <c r="K138" s="15" t="n">
        <f aca="false">F138*G138*I138/1000000</f>
        <v>0.4665469</v>
      </c>
      <c r="L138" s="6" t="s">
        <v>263</v>
      </c>
    </row>
    <row r="139" customFormat="false" ht="15" hidden="false" customHeight="true" outlineLevel="0" collapsed="false">
      <c r="A139" s="8" t="n">
        <v>124</v>
      </c>
      <c r="B139" s="8" t="s">
        <v>321</v>
      </c>
      <c r="C139" s="6" t="s">
        <v>261</v>
      </c>
      <c r="D139" s="16" t="s">
        <v>172</v>
      </c>
      <c r="E139" s="6" t="s">
        <v>173</v>
      </c>
      <c r="F139" s="14" t="n">
        <v>1197.5</v>
      </c>
      <c r="G139" s="14" t="n">
        <v>205.1</v>
      </c>
      <c r="H139" s="14" t="n">
        <v>3</v>
      </c>
      <c r="I139" s="8" t="n">
        <v>1</v>
      </c>
      <c r="J139" s="15"/>
      <c r="K139" s="15" t="n">
        <f aca="false">F139*G139*I139/1000000</f>
        <v>0.24560725</v>
      </c>
      <c r="L139" s="6" t="s">
        <v>263</v>
      </c>
    </row>
    <row r="140" customFormat="false" ht="15" hidden="false" customHeight="true" outlineLevel="0" collapsed="false">
      <c r="A140" s="8" t="n">
        <v>125</v>
      </c>
      <c r="B140" s="8" t="s">
        <v>322</v>
      </c>
      <c r="C140" s="6" t="s">
        <v>261</v>
      </c>
      <c r="D140" s="16" t="s">
        <v>172</v>
      </c>
      <c r="E140" s="6" t="s">
        <v>173</v>
      </c>
      <c r="F140" s="14" t="n">
        <v>390</v>
      </c>
      <c r="G140" s="14" t="n">
        <v>115.7</v>
      </c>
      <c r="H140" s="14" t="n">
        <v>3</v>
      </c>
      <c r="I140" s="8" t="n">
        <v>1</v>
      </c>
      <c r="J140" s="15"/>
      <c r="K140" s="15" t="n">
        <f aca="false">F140*G140*I140/1000000</f>
        <v>0.045123</v>
      </c>
      <c r="L140" s="6" t="s">
        <v>263</v>
      </c>
    </row>
    <row r="141" customFormat="false" ht="15" hidden="false" customHeight="true" outlineLevel="0" collapsed="false">
      <c r="A141" s="8" t="n">
        <v>126</v>
      </c>
      <c r="B141" s="8" t="s">
        <v>323</v>
      </c>
      <c r="C141" s="6" t="s">
        <v>261</v>
      </c>
      <c r="D141" s="16" t="s">
        <v>172</v>
      </c>
      <c r="E141" s="6" t="s">
        <v>173</v>
      </c>
      <c r="F141" s="14" t="n">
        <v>295.5</v>
      </c>
      <c r="G141" s="14" t="n">
        <v>199.6</v>
      </c>
      <c r="H141" s="14" t="n">
        <v>3</v>
      </c>
      <c r="I141" s="8" t="n">
        <v>1</v>
      </c>
      <c r="J141" s="15"/>
      <c r="K141" s="15" t="n">
        <f aca="false">F141*G141*I141/1000000</f>
        <v>0.0589818</v>
      </c>
      <c r="L141" s="6" t="s">
        <v>263</v>
      </c>
    </row>
    <row r="142" customFormat="false" ht="15" hidden="false" customHeight="true" outlineLevel="0" collapsed="false">
      <c r="A142" s="8" t="n">
        <v>127</v>
      </c>
      <c r="B142" s="8" t="s">
        <v>324</v>
      </c>
      <c r="C142" s="6" t="s">
        <v>261</v>
      </c>
      <c r="D142" s="16" t="s">
        <v>172</v>
      </c>
      <c r="E142" s="6" t="s">
        <v>173</v>
      </c>
      <c r="F142" s="14" t="n">
        <v>199</v>
      </c>
      <c r="G142" s="14" t="n">
        <v>76.5</v>
      </c>
      <c r="H142" s="14" t="n">
        <v>3</v>
      </c>
      <c r="I142" s="8" t="n">
        <v>1</v>
      </c>
      <c r="J142" s="15"/>
      <c r="K142" s="15" t="n">
        <f aca="false">F142*G142*I142/1000000</f>
        <v>0.0152235</v>
      </c>
      <c r="L142" s="6"/>
    </row>
    <row r="143" customFormat="false" ht="23.25" hidden="false" customHeight="true" outlineLevel="0" collapsed="false">
      <c r="A143" s="8" t="n">
        <v>128</v>
      </c>
      <c r="B143" s="8" t="s">
        <v>325</v>
      </c>
      <c r="C143" s="6" t="s">
        <v>265</v>
      </c>
      <c r="D143" s="16" t="s">
        <v>172</v>
      </c>
      <c r="E143" s="6" t="s">
        <v>173</v>
      </c>
      <c r="F143" s="14" t="n">
        <v>1697.5</v>
      </c>
      <c r="G143" s="14" t="n">
        <v>344.7</v>
      </c>
      <c r="H143" s="14" t="n">
        <v>85.8</v>
      </c>
      <c r="I143" s="8" t="n">
        <v>1</v>
      </c>
      <c r="J143" s="15"/>
      <c r="K143" s="15" t="n">
        <f aca="false">0.52*I143</f>
        <v>0.52</v>
      </c>
      <c r="L143" s="6" t="s">
        <v>266</v>
      </c>
    </row>
    <row r="144" customFormat="false" ht="15" hidden="false" customHeight="true" outlineLevel="0" collapsed="false">
      <c r="A144" s="8" t="n">
        <v>129</v>
      </c>
      <c r="B144" s="8" t="s">
        <v>326</v>
      </c>
      <c r="C144" s="6" t="s">
        <v>176</v>
      </c>
      <c r="D144" s="13" t="s">
        <v>60</v>
      </c>
      <c r="E144" s="6" t="s">
        <v>268</v>
      </c>
      <c r="F144" s="14" t="n">
        <v>50</v>
      </c>
      <c r="G144" s="14" t="n">
        <v>20</v>
      </c>
      <c r="H144" s="14" t="n">
        <v>2</v>
      </c>
      <c r="I144" s="8" t="n">
        <v>3</v>
      </c>
      <c r="J144" s="15"/>
      <c r="K144" s="15"/>
      <c r="L144" s="6"/>
    </row>
    <row r="145" customFormat="false" ht="15" hidden="false" customHeight="true" outlineLevel="0" collapsed="false">
      <c r="A145" s="12" t="s">
        <v>327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customFormat="false" ht="15" hidden="false" customHeight="true" outlineLevel="0" collapsed="false">
      <c r="A146" s="8" t="n">
        <v>130</v>
      </c>
      <c r="B146" s="8" t="s">
        <v>328</v>
      </c>
      <c r="C146" s="6" t="s">
        <v>329</v>
      </c>
      <c r="D146" s="17" t="s">
        <v>67</v>
      </c>
      <c r="E146" s="6" t="s">
        <v>330</v>
      </c>
      <c r="F146" s="14" t="n">
        <v>1000</v>
      </c>
      <c r="G146" s="14" t="n">
        <v>600</v>
      </c>
      <c r="H146" s="14" t="n">
        <v>20</v>
      </c>
      <c r="I146" s="8" t="n">
        <v>1</v>
      </c>
      <c r="J146" s="15"/>
      <c r="K146" s="15" t="n">
        <f aca="false">F146*G146*I146/1000000</f>
        <v>0.6</v>
      </c>
      <c r="L146" s="6" t="s">
        <v>331</v>
      </c>
    </row>
    <row r="147" customFormat="false" ht="15" hidden="false" customHeight="true" outlineLevel="0" collapsed="false">
      <c r="A147" s="8" t="n">
        <v>131</v>
      </c>
      <c r="B147" s="8" t="s">
        <v>332</v>
      </c>
      <c r="C147" s="6" t="s">
        <v>333</v>
      </c>
      <c r="D147" s="13" t="s">
        <v>60</v>
      </c>
      <c r="E147" s="6" t="s">
        <v>334</v>
      </c>
      <c r="F147" s="14" t="n">
        <v>797</v>
      </c>
      <c r="G147" s="14" t="n">
        <v>100</v>
      </c>
      <c r="H147" s="14" t="n">
        <v>100</v>
      </c>
      <c r="I147" s="8" t="n">
        <v>1</v>
      </c>
      <c r="J147" s="15" t="n">
        <f aca="false">F147*I147/1000</f>
        <v>0.797</v>
      </c>
      <c r="K147" s="15"/>
      <c r="L147" s="6"/>
    </row>
    <row r="148" customFormat="false" ht="15" hidden="false" customHeight="true" outlineLevel="0" collapsed="false">
      <c r="A148" s="8" t="n">
        <v>132</v>
      </c>
      <c r="B148" s="8" t="s">
        <v>335</v>
      </c>
      <c r="C148" s="6" t="s">
        <v>336</v>
      </c>
      <c r="D148" s="13" t="s">
        <v>60</v>
      </c>
      <c r="E148" s="6" t="s">
        <v>337</v>
      </c>
      <c r="F148" s="14" t="n">
        <v>200</v>
      </c>
      <c r="G148" s="14" t="n">
        <v>200</v>
      </c>
      <c r="H148" s="14" t="n">
        <v>3</v>
      </c>
      <c r="I148" s="8" t="n">
        <v>1</v>
      </c>
      <c r="J148" s="15"/>
      <c r="K148" s="15"/>
      <c r="L148" s="6"/>
    </row>
    <row r="149" customFormat="false" ht="15" hidden="false" customHeight="true" outlineLevel="0" collapsed="false">
      <c r="A149" s="12" t="s">
        <v>338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customFormat="false" ht="15" hidden="false" customHeight="true" outlineLevel="0" collapsed="false">
      <c r="A150" s="8" t="n">
        <v>133</v>
      </c>
      <c r="B150" s="8" t="s">
        <v>339</v>
      </c>
      <c r="C150" s="6" t="s">
        <v>14</v>
      </c>
      <c r="D150" s="18" t="s">
        <v>113</v>
      </c>
      <c r="E150" s="6" t="s">
        <v>114</v>
      </c>
      <c r="F150" s="14" t="n">
        <v>2011</v>
      </c>
      <c r="G150" s="14" t="n">
        <v>1175.6</v>
      </c>
      <c r="H150" s="14" t="n">
        <v>10</v>
      </c>
      <c r="I150" s="8" t="n">
        <v>1</v>
      </c>
      <c r="J150" s="15"/>
      <c r="K150" s="15" t="n">
        <f aca="false">F150*G150*I150/1000000</f>
        <v>2.3641316</v>
      </c>
      <c r="L150" s="6" t="s">
        <v>340</v>
      </c>
    </row>
    <row r="151" customFormat="false" ht="15" hidden="false" customHeight="true" outlineLevel="0" collapsed="false">
      <c r="A151" s="12" t="s">
        <v>341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customFormat="false" ht="15" hidden="false" customHeight="true" outlineLevel="0" collapsed="false">
      <c r="A152" s="8" t="n">
        <v>134</v>
      </c>
      <c r="B152" s="8" t="s">
        <v>342</v>
      </c>
      <c r="C152" s="6" t="s">
        <v>116</v>
      </c>
      <c r="D152" s="18" t="s">
        <v>113</v>
      </c>
      <c r="E152" s="6" t="s">
        <v>114</v>
      </c>
      <c r="F152" s="14" t="n">
        <v>2138.5</v>
      </c>
      <c r="G152" s="14" t="n">
        <v>723.7</v>
      </c>
      <c r="H152" s="14" t="n">
        <v>10</v>
      </c>
      <c r="I152" s="8" t="n">
        <v>1</v>
      </c>
      <c r="J152" s="15"/>
      <c r="K152" s="15" t="n">
        <f aca="false">F152*G152*I152/1000000</f>
        <v>1.54763245</v>
      </c>
      <c r="L152" s="6" t="s">
        <v>340</v>
      </c>
    </row>
    <row r="153" customFormat="false" ht="15" hidden="false" customHeight="true" outlineLevel="0" collapsed="false">
      <c r="A153" s="12" t="s">
        <v>343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customFormat="false" ht="34.5" hidden="false" customHeight="true" outlineLevel="0" collapsed="false">
      <c r="A154" s="8" t="n">
        <v>135</v>
      </c>
      <c r="B154" s="8" t="s">
        <v>344</v>
      </c>
      <c r="C154" s="6" t="s">
        <v>345</v>
      </c>
      <c r="D154" s="13" t="s">
        <v>60</v>
      </c>
      <c r="E154" s="6" t="s">
        <v>346</v>
      </c>
      <c r="F154" s="14"/>
      <c r="G154" s="14"/>
      <c r="H154" s="14"/>
      <c r="I154" s="8" t="n">
        <v>18</v>
      </c>
      <c r="J154" s="15"/>
      <c r="K154" s="15"/>
      <c r="L154" s="6" t="s">
        <v>347</v>
      </c>
    </row>
    <row r="155" customFormat="false" ht="15" hidden="false" customHeight="true" outlineLevel="0" collapsed="false">
      <c r="A155" s="8" t="n">
        <v>136</v>
      </c>
      <c r="B155" s="8" t="s">
        <v>348</v>
      </c>
      <c r="C155" s="6" t="s">
        <v>345</v>
      </c>
      <c r="D155" s="13" t="s">
        <v>60</v>
      </c>
      <c r="E155" s="6" t="s">
        <v>349</v>
      </c>
      <c r="F155" s="14"/>
      <c r="G155" s="14"/>
      <c r="H155" s="14"/>
      <c r="I155" s="8" t="n">
        <v>8</v>
      </c>
      <c r="J155" s="15"/>
      <c r="K155" s="15"/>
      <c r="L155" s="6" t="s">
        <v>350</v>
      </c>
    </row>
    <row r="156" customFormat="false" ht="15" hidden="false" customHeight="true" outlineLevel="0" collapsed="false">
      <c r="A156" s="8" t="n">
        <v>137</v>
      </c>
      <c r="B156" s="8" t="s">
        <v>351</v>
      </c>
      <c r="C156" s="6" t="s">
        <v>345</v>
      </c>
      <c r="D156" s="13" t="s">
        <v>60</v>
      </c>
      <c r="E156" s="6" t="s">
        <v>352</v>
      </c>
      <c r="F156" s="14"/>
      <c r="G156" s="14"/>
      <c r="H156" s="14"/>
      <c r="I156" s="8" t="n">
        <v>26</v>
      </c>
      <c r="J156" s="15"/>
      <c r="K156" s="15"/>
      <c r="L156" s="6" t="s">
        <v>353</v>
      </c>
    </row>
    <row r="157" customFormat="false" ht="15" hidden="false" customHeight="true" outlineLevel="0" collapsed="false">
      <c r="A157" s="12" t="s">
        <v>354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customFormat="false" ht="15" hidden="false" customHeight="true" outlineLevel="0" collapsed="false">
      <c r="A158" s="8" t="n">
        <v>138</v>
      </c>
      <c r="B158" s="8" t="s">
        <v>355</v>
      </c>
      <c r="C158" s="6" t="s">
        <v>356</v>
      </c>
      <c r="D158" s="6"/>
      <c r="E158" s="6" t="s">
        <v>61</v>
      </c>
      <c r="F158" s="14"/>
      <c r="G158" s="14"/>
      <c r="H158" s="14"/>
      <c r="I158" s="8" t="n">
        <v>6</v>
      </c>
      <c r="J158" s="15"/>
      <c r="K158" s="15"/>
      <c r="L158" s="6"/>
    </row>
    <row r="159" customFormat="false" ht="15" hidden="false" customHeight="true" outlineLevel="0" collapsed="false">
      <c r="A159" s="8" t="n">
        <v>139</v>
      </c>
      <c r="B159" s="8" t="s">
        <v>357</v>
      </c>
      <c r="C159" s="6" t="s">
        <v>356</v>
      </c>
      <c r="D159" s="6"/>
      <c r="E159" s="6" t="s">
        <v>358</v>
      </c>
      <c r="F159" s="14"/>
      <c r="G159" s="14"/>
      <c r="H159" s="14"/>
      <c r="I159" s="8" t="n">
        <v>4</v>
      </c>
      <c r="J159" s="15"/>
      <c r="K159" s="15"/>
      <c r="L159" s="6" t="s">
        <v>359</v>
      </c>
    </row>
    <row r="160" customFormat="false" ht="15" hidden="false" customHeight="true" outlineLevel="0" collapsed="false">
      <c r="A160" s="8" t="n">
        <v>140</v>
      </c>
      <c r="B160" s="8" t="s">
        <v>360</v>
      </c>
      <c r="C160" s="6" t="s">
        <v>356</v>
      </c>
      <c r="D160" s="6"/>
      <c r="E160" s="6" t="s">
        <v>361</v>
      </c>
      <c r="F160" s="14"/>
      <c r="G160" s="14"/>
      <c r="H160" s="14"/>
      <c r="I160" s="8" t="n">
        <v>2</v>
      </c>
      <c r="J160" s="15"/>
      <c r="K160" s="15"/>
      <c r="L160" s="6"/>
    </row>
    <row r="161" customFormat="false" ht="15" hidden="false" customHeight="true" outlineLevel="0" collapsed="false">
      <c r="A161" s="8" t="n">
        <v>141</v>
      </c>
      <c r="B161" s="8" t="s">
        <v>362</v>
      </c>
      <c r="C161" s="6" t="s">
        <v>356</v>
      </c>
      <c r="D161" s="6"/>
      <c r="E161" s="6" t="s">
        <v>363</v>
      </c>
      <c r="F161" s="14"/>
      <c r="G161" s="14"/>
      <c r="H161" s="14"/>
      <c r="I161" s="8" t="n">
        <v>1</v>
      </c>
      <c r="J161" s="15"/>
      <c r="K161" s="15"/>
      <c r="L161" s="6"/>
    </row>
    <row r="162" customFormat="false" ht="15" hidden="false" customHeight="true" outlineLevel="0" collapsed="false">
      <c r="A162" s="8" t="n">
        <v>142</v>
      </c>
      <c r="B162" s="8" t="s">
        <v>364</v>
      </c>
      <c r="C162" s="6" t="s">
        <v>356</v>
      </c>
      <c r="D162" s="6"/>
      <c r="E162" s="6" t="s">
        <v>365</v>
      </c>
      <c r="F162" s="14"/>
      <c r="G162" s="14"/>
      <c r="H162" s="14"/>
      <c r="I162" s="8" t="n">
        <v>1</v>
      </c>
      <c r="J162" s="15"/>
      <c r="K162" s="15"/>
      <c r="L162" s="6"/>
    </row>
    <row r="163" customFormat="false" ht="15" hidden="false" customHeight="true" outlineLevel="0" collapsed="false">
      <c r="A163" s="8" t="n">
        <v>143</v>
      </c>
      <c r="B163" s="8" t="s">
        <v>366</v>
      </c>
      <c r="C163" s="6" t="s">
        <v>356</v>
      </c>
      <c r="D163" s="6"/>
      <c r="E163" s="6" t="s">
        <v>367</v>
      </c>
      <c r="F163" s="14"/>
      <c r="G163" s="14"/>
      <c r="H163" s="14"/>
      <c r="I163" s="8" t="n">
        <v>1</v>
      </c>
      <c r="J163" s="15"/>
      <c r="K163" s="15"/>
      <c r="L163" s="6"/>
    </row>
    <row r="164" customFormat="false" ht="15" hidden="false" customHeight="true" outlineLevel="0" collapsed="false">
      <c r="A164" s="8" t="n">
        <v>144</v>
      </c>
      <c r="B164" s="8" t="s">
        <v>368</v>
      </c>
      <c r="C164" s="6" t="s">
        <v>356</v>
      </c>
      <c r="D164" s="6"/>
      <c r="E164" s="6" t="s">
        <v>369</v>
      </c>
      <c r="F164" s="14"/>
      <c r="G164" s="14"/>
      <c r="H164" s="14"/>
      <c r="I164" s="8" t="n">
        <v>1</v>
      </c>
      <c r="J164" s="15"/>
      <c r="K164" s="15"/>
      <c r="L164" s="6"/>
    </row>
    <row r="165" customFormat="false" ht="15" hidden="false" customHeight="true" outlineLevel="0" collapsed="false">
      <c r="A165" s="8" t="n">
        <v>145</v>
      </c>
      <c r="B165" s="8" t="s">
        <v>370</v>
      </c>
      <c r="C165" s="6" t="s">
        <v>356</v>
      </c>
      <c r="D165" s="6"/>
      <c r="E165" s="6" t="s">
        <v>371</v>
      </c>
      <c r="F165" s="14"/>
      <c r="G165" s="14"/>
      <c r="H165" s="14"/>
      <c r="I165" s="8" t="n">
        <v>1</v>
      </c>
      <c r="J165" s="15"/>
      <c r="K165" s="15"/>
      <c r="L165" s="6"/>
    </row>
    <row r="166" customFormat="false" ht="15" hidden="false" customHeight="true" outlineLevel="0" collapsed="false">
      <c r="A166" s="8" t="n">
        <v>146</v>
      </c>
      <c r="B166" s="8" t="s">
        <v>372</v>
      </c>
      <c r="C166" s="6" t="s">
        <v>356</v>
      </c>
      <c r="D166" s="6"/>
      <c r="E166" s="6" t="s">
        <v>373</v>
      </c>
      <c r="F166" s="14"/>
      <c r="G166" s="14"/>
      <c r="H166" s="14"/>
      <c r="I166" s="8" t="n">
        <v>3</v>
      </c>
      <c r="J166" s="15"/>
      <c r="K166" s="15"/>
      <c r="L166" s="6"/>
    </row>
    <row r="167" customFormat="false" ht="15" hidden="false" customHeight="true" outlineLevel="0" collapsed="false">
      <c r="A167" s="8" t="n">
        <v>147</v>
      </c>
      <c r="B167" s="8" t="s">
        <v>374</v>
      </c>
      <c r="C167" s="6" t="s">
        <v>356</v>
      </c>
      <c r="D167" s="6"/>
      <c r="E167" s="6" t="s">
        <v>375</v>
      </c>
      <c r="F167" s="14"/>
      <c r="G167" s="14"/>
      <c r="H167" s="14"/>
      <c r="I167" s="8" t="n">
        <v>1</v>
      </c>
      <c r="J167" s="15"/>
      <c r="K167" s="15"/>
      <c r="L167" s="6"/>
    </row>
  </sheetData>
  <autoFilter ref="A4:L167"/>
  <mergeCells count="16">
    <mergeCell ref="A5:L5"/>
    <mergeCell ref="A19:L19"/>
    <mergeCell ref="A21:L21"/>
    <mergeCell ref="A30:L30"/>
    <mergeCell ref="A39:L39"/>
    <mergeCell ref="A47:L47"/>
    <mergeCell ref="A55:L55"/>
    <mergeCell ref="A63:L63"/>
    <mergeCell ref="A69:L69"/>
    <mergeCell ref="A87:L87"/>
    <mergeCell ref="A120:L120"/>
    <mergeCell ref="A145:L145"/>
    <mergeCell ref="A149:L149"/>
    <mergeCell ref="A151:L151"/>
    <mergeCell ref="A153:L153"/>
    <mergeCell ref="A157:L1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8"/>
    <col collapsed="false" customWidth="true" hidden="false" outlineLevel="0" max="2" min="2" style="9" width="10"/>
    <col collapsed="false" customWidth="true" hidden="false" outlineLevel="0" max="3" min="3" style="9" width="13"/>
    <col collapsed="false" customWidth="true" hidden="false" outlineLevel="0" max="4" min="4" style="9" width="14"/>
    <col collapsed="false" customWidth="true" hidden="false" outlineLevel="0" max="5" min="5" style="9" width="22"/>
    <col collapsed="false" customWidth="true" hidden="false" outlineLevel="0" max="6" min="6" style="9" width="16"/>
    <col collapsed="false" customWidth="true" hidden="false" outlineLevel="0" max="7" min="7" style="9" width="50"/>
  </cols>
  <sheetData>
    <row r="1" customFormat="false" ht="17.25" hidden="false" customHeight="true" outlineLevel="0" collapsed="false">
      <c r="A1" s="10" t="s">
        <v>376</v>
      </c>
    </row>
    <row r="3" customFormat="false" ht="15" hidden="false" customHeight="true" outlineLevel="0" collapsed="false">
      <c r="A3" s="19" t="s">
        <v>377</v>
      </c>
      <c r="B3" s="20" t="n">
        <v>0.05</v>
      </c>
      <c r="C3" s="21" t="s">
        <v>378</v>
      </c>
    </row>
    <row r="5" customFormat="false" ht="15" hidden="false" customHeight="true" outlineLevel="0" collapsed="false">
      <c r="A5" s="22" t="s">
        <v>379</v>
      </c>
    </row>
    <row r="6" customFormat="false" ht="23.25" hidden="false" customHeight="true" outlineLevel="0" collapsed="false">
      <c r="A6" s="4" t="s">
        <v>148</v>
      </c>
      <c r="B6" s="4" t="s">
        <v>152</v>
      </c>
      <c r="C6" s="4" t="s">
        <v>153</v>
      </c>
      <c r="D6" s="4" t="s">
        <v>154</v>
      </c>
      <c r="E6" s="4" t="s">
        <v>380</v>
      </c>
      <c r="F6" s="4" t="s">
        <v>381</v>
      </c>
      <c r="G6" s="4" t="s">
        <v>5</v>
      </c>
    </row>
    <row r="7" customFormat="false" ht="15" hidden="false" customHeight="true" outlineLevel="0" collapsed="false">
      <c r="A7" s="5" t="s">
        <v>186</v>
      </c>
      <c r="B7" s="6" t="n">
        <f aca="false">SUMIFS(BOM!$I$5:$I$167,BOM!$D$5:$D$167,"Gỗ",BOM!$E$5:$E$167,A7)</f>
        <v>32</v>
      </c>
      <c r="C7" s="15" t="n">
        <f aca="false">SUMIFS(BOM!$J$5:$J$167,BOM!$D$5:$D$167,"Gỗ",BOM!$E$5:$E$167,A7)</f>
        <v>49.511</v>
      </c>
      <c r="D7" s="15"/>
      <c r="E7" s="23" t="n">
        <v>3000</v>
      </c>
      <c r="F7" s="6" t="n">
        <f aca="false">ROUNDUP(C7*(1+$B$3)/(E7/1000),0)</f>
        <v>18</v>
      </c>
      <c r="G7" s="6" t="s">
        <v>382</v>
      </c>
    </row>
    <row r="8" customFormat="false" ht="15" hidden="false" customHeight="true" outlineLevel="0" collapsed="false">
      <c r="A8" s="5" t="s">
        <v>330</v>
      </c>
      <c r="B8" s="6" t="n">
        <f aca="false">SUMIFS(BOM!$I$5:$I$167,BOM!$D$5:$D$167,"Gỗ",BOM!$E$5:$E$167,A8)</f>
        <v>1</v>
      </c>
      <c r="C8" s="15"/>
      <c r="D8" s="15" t="n">
        <f aca="false">SUMIFS(BOM!$K$5:$K$167,BOM!$D$5:$D$167,"Gỗ",BOM!$E$5:$E$167,A8)</f>
        <v>0.6</v>
      </c>
      <c r="E8" s="24" t="s">
        <v>383</v>
      </c>
      <c r="F8" s="6" t="n">
        <f aca="false">ROUNDUP(D8*(1+$B$3)/(VALUE(LEFT(E8,FIND("x",E8)-1))*VALUE(MID(E8,FIND("x",E8)+1,10))/1000000),0)</f>
        <v>1</v>
      </c>
      <c r="G8" s="6" t="s">
        <v>384</v>
      </c>
    </row>
    <row r="9" customFormat="false" ht="15" hidden="false" customHeight="true" outlineLevel="0" collapsed="false">
      <c r="A9" s="5" t="s">
        <v>193</v>
      </c>
      <c r="B9" s="6" t="n">
        <f aca="false">SUMIFS(BOM!$I$5:$I$167,BOM!$D$5:$D$167,"Gỗ",BOM!$E$5:$E$167,A9)</f>
        <v>9</v>
      </c>
      <c r="C9" s="15"/>
      <c r="D9" s="15" t="n">
        <f aca="false">SUMIFS(BOM!$K$5:$K$167,BOM!$D$5:$D$167,"Gỗ",BOM!$E$5:$E$167,A9)</f>
        <v>16.262315</v>
      </c>
      <c r="E9" s="24" t="s">
        <v>383</v>
      </c>
      <c r="F9" s="6" t="n">
        <f aca="false">ROUNDUP(D9*(1+$B$3)/(VALUE(LEFT(E9,FIND("x",E9)-1))*VALUE(MID(E9,FIND("x",E9)+1,10))/1000000),0)</f>
        <v>6</v>
      </c>
      <c r="G9" s="6" t="s">
        <v>384</v>
      </c>
    </row>
    <row r="10" customFormat="false" ht="15" hidden="false" customHeight="true" outlineLevel="0" collapsed="false">
      <c r="A10" s="5" t="s">
        <v>182</v>
      </c>
      <c r="B10" s="6" t="n">
        <f aca="false">SUMIFS(BOM!$I$5:$I$167,BOM!$D$5:$D$167,"Gỗ",BOM!$E$5:$E$167,A10)</f>
        <v>11</v>
      </c>
      <c r="C10" s="15"/>
      <c r="D10" s="15" t="n">
        <f aca="false">SUMIFS(BOM!$K$5:$K$167,BOM!$D$5:$D$167,"Gỗ",BOM!$E$5:$E$167,A10)</f>
        <v>18.600627</v>
      </c>
      <c r="E10" s="24" t="s">
        <v>383</v>
      </c>
      <c r="F10" s="6" t="n">
        <f aca="false">ROUNDUP(D10*(1+$B$3)/(VALUE(LEFT(E10,FIND("x",E10)-1))*VALUE(MID(E10,FIND("x",E10)+1,10))/1000000),0)</f>
        <v>7</v>
      </c>
      <c r="G10" s="6" t="s">
        <v>384</v>
      </c>
    </row>
    <row r="12" customFormat="false" ht="15" hidden="false" customHeight="true" outlineLevel="0" collapsed="false">
      <c r="A12" s="25" t="s">
        <v>385</v>
      </c>
    </row>
    <row r="13" customFormat="false" ht="23.25" hidden="false" customHeight="true" outlineLevel="0" collapsed="false">
      <c r="A13" s="4" t="s">
        <v>148</v>
      </c>
      <c r="B13" s="4" t="s">
        <v>152</v>
      </c>
      <c r="C13" s="4" t="s">
        <v>153</v>
      </c>
      <c r="D13" s="4" t="s">
        <v>154</v>
      </c>
      <c r="E13" s="4" t="s">
        <v>380</v>
      </c>
      <c r="F13" s="4" t="s">
        <v>381</v>
      </c>
      <c r="G13" s="4" t="s">
        <v>5</v>
      </c>
    </row>
    <row r="14" customFormat="false" ht="15" hidden="false" customHeight="true" outlineLevel="0" collapsed="false">
      <c r="A14" s="5" t="s">
        <v>157</v>
      </c>
      <c r="B14" s="6" t="n">
        <f aca="false">SUMIFS(BOM!$I$5:$I$167,BOM!$D$5:$D$167,"Thép",BOM!$E$5:$E$167,A14)</f>
        <v>13</v>
      </c>
      <c r="C14" s="15" t="n">
        <f aca="false">SUMIFS(BOM!$J$5:$J$167,BOM!$D$5:$D$167,"Thép",BOM!$E$5:$E$167,A14)</f>
        <v>8.3685</v>
      </c>
      <c r="D14" s="15"/>
      <c r="E14" s="23" t="n">
        <v>6000</v>
      </c>
      <c r="F14" s="6" t="n">
        <f aca="false">ROUNDUP(C14*(1+$B$3)/(E14/1000),0)</f>
        <v>2</v>
      </c>
      <c r="G14" s="6" t="s">
        <v>382</v>
      </c>
    </row>
    <row r="15" customFormat="false" ht="15" hidden="false" customHeight="true" outlineLevel="0" collapsed="false">
      <c r="A15" s="5" t="s">
        <v>246</v>
      </c>
      <c r="B15" s="6" t="n">
        <f aca="false">SUMIFS(BOM!$I$5:$I$167,BOM!$D$5:$D$167,"Thép",BOM!$E$5:$E$167,A15)</f>
        <v>83</v>
      </c>
      <c r="C15" s="15" t="n">
        <f aca="false">SUMIFS(BOM!$J$5:$J$167,BOM!$D$5:$D$167,"Thép",BOM!$E$5:$E$167,A15)</f>
        <v>39.3685</v>
      </c>
      <c r="D15" s="15"/>
      <c r="E15" s="23" t="n">
        <v>6000</v>
      </c>
      <c r="F15" s="6" t="n">
        <f aca="false">ROUNDUP(C15*(1+$B$3)/(E15/1000),0)</f>
        <v>7</v>
      </c>
      <c r="G15" s="6" t="s">
        <v>382</v>
      </c>
    </row>
    <row r="16" customFormat="false" ht="15" hidden="false" customHeight="true" outlineLevel="0" collapsed="false">
      <c r="A16" s="5" t="s">
        <v>167</v>
      </c>
      <c r="B16" s="6" t="n">
        <f aca="false">SUMIFS(BOM!$I$5:$I$167,BOM!$D$5:$D$167,"Thép",BOM!$E$5:$E$167,A16)</f>
        <v>5</v>
      </c>
      <c r="C16" s="15" t="n">
        <f aca="false">SUMIFS(BOM!$J$5:$J$167,BOM!$D$5:$D$167,"Thép",BOM!$E$5:$E$167,A16)</f>
        <v>0.6875</v>
      </c>
      <c r="D16" s="15"/>
      <c r="E16" s="23" t="n">
        <v>6000</v>
      </c>
      <c r="F16" s="6" t="n">
        <f aca="false">ROUNDUP(C16*(1+$B$3)/(E16/1000),0)</f>
        <v>1</v>
      </c>
      <c r="G16" s="6" t="s">
        <v>382</v>
      </c>
    </row>
    <row r="17" customFormat="false" ht="15" hidden="false" customHeight="true" outlineLevel="0" collapsed="false">
      <c r="A17" s="5" t="s">
        <v>259</v>
      </c>
      <c r="B17" s="6" t="n">
        <f aca="false">SUMIFS(BOM!$I$5:$I$167,BOM!$D$5:$D$167,"Thép",BOM!$E$5:$E$167,A17)</f>
        <v>3</v>
      </c>
      <c r="C17" s="15" t="n">
        <f aca="false">SUMIFS(BOM!$J$5:$J$167,BOM!$D$5:$D$167,"Thép",BOM!$E$5:$E$167,A17)</f>
        <v>1.9575</v>
      </c>
      <c r="D17" s="15"/>
      <c r="E17" s="23" t="n">
        <v>6000</v>
      </c>
      <c r="F17" s="6" t="n">
        <f aca="false">ROUNDUP(C17*(1+$B$3)/(E17/1000),0)</f>
        <v>1</v>
      </c>
      <c r="G17" s="6" t="s">
        <v>382</v>
      </c>
    </row>
    <row r="18" customFormat="false" ht="15" hidden="false" customHeight="true" outlineLevel="0" collapsed="false">
      <c r="A18" s="5" t="s">
        <v>169</v>
      </c>
      <c r="B18" s="6" t="n">
        <f aca="false">SUMIFS(BOM!$I$5:$I$167,BOM!$D$5:$D$167,"Thép",BOM!$E$5:$E$167,A18)</f>
        <v>3</v>
      </c>
      <c r="C18" s="15" t="n">
        <f aca="false">SUMIFS(BOM!$J$5:$J$167,BOM!$D$5:$D$167,"Thép",BOM!$E$5:$E$167,A18)</f>
        <v>7.2</v>
      </c>
      <c r="D18" s="15"/>
      <c r="E18" s="23" t="n">
        <v>6000</v>
      </c>
      <c r="F18" s="6" t="n">
        <f aca="false">ROUNDUP(C18*(1+$B$3)/(E18/1000),0)</f>
        <v>2</v>
      </c>
      <c r="G18" s="6" t="s">
        <v>382</v>
      </c>
    </row>
    <row r="19" customFormat="false" ht="15" hidden="false" customHeight="true" outlineLevel="0" collapsed="false">
      <c r="A19" s="5" t="s">
        <v>334</v>
      </c>
      <c r="B19" s="6" t="n">
        <f aca="false">SUMIFS(BOM!$I$5:$I$167,BOM!$D$5:$D$167,"Thép",BOM!$E$5:$E$167,A19)</f>
        <v>1</v>
      </c>
      <c r="C19" s="15" t="n">
        <f aca="false">SUMIFS(BOM!$J$5:$J$167,BOM!$D$5:$D$167,"Thép",BOM!$E$5:$E$167,A19)</f>
        <v>0.797</v>
      </c>
      <c r="D19" s="15"/>
      <c r="E19" s="23" t="n">
        <v>6000</v>
      </c>
      <c r="F19" s="6" t="n">
        <f aca="false">ROUNDUP(C19*(1+$B$3)/(E19/1000),0)</f>
        <v>1</v>
      </c>
      <c r="G19" s="6" t="s">
        <v>382</v>
      </c>
    </row>
    <row r="20" customFormat="false" ht="15" hidden="false" customHeight="true" outlineLevel="0" collapsed="false">
      <c r="A20" s="5" t="s">
        <v>177</v>
      </c>
      <c r="B20" s="6" t="n">
        <f aca="false">SUMIFS(BOM!$I$5:$I$167,BOM!$D$5:$D$167,"Thép",BOM!$E$5:$E$167,A20)</f>
        <v>1</v>
      </c>
      <c r="C20" s="15"/>
      <c r="D20" s="15"/>
      <c r="E20" s="6"/>
      <c r="F20" s="6"/>
      <c r="G20" s="6"/>
    </row>
    <row r="21" customFormat="false" ht="15" hidden="false" customHeight="true" outlineLevel="0" collapsed="false">
      <c r="A21" s="5" t="s">
        <v>337</v>
      </c>
      <c r="B21" s="6" t="n">
        <f aca="false">SUMIFS(BOM!$I$5:$I$167,BOM!$D$5:$D$167,"Thép",BOM!$E$5:$E$167,A21)</f>
        <v>1</v>
      </c>
      <c r="C21" s="15"/>
      <c r="D21" s="15"/>
      <c r="E21" s="6"/>
      <c r="F21" s="6"/>
      <c r="G21" s="6"/>
    </row>
    <row r="22" customFormat="false" ht="15" hidden="false" customHeight="true" outlineLevel="0" collapsed="false">
      <c r="A22" s="5" t="s">
        <v>268</v>
      </c>
      <c r="B22" s="6" t="n">
        <f aca="false">SUMIFS(BOM!$I$5:$I$167,BOM!$D$5:$D$167,"Thép",BOM!$E$5:$E$167,A22)</f>
        <v>11</v>
      </c>
      <c r="C22" s="15"/>
      <c r="D22" s="15"/>
      <c r="E22" s="6"/>
      <c r="F22" s="6"/>
      <c r="G22" s="6"/>
    </row>
    <row r="23" customFormat="false" ht="15" hidden="false" customHeight="true" outlineLevel="0" collapsed="false">
      <c r="A23" s="5" t="s">
        <v>179</v>
      </c>
      <c r="B23" s="6" t="n">
        <f aca="false">SUMIFS(BOM!$I$5:$I$167,BOM!$D$5:$D$167,"Thép",BOM!$E$5:$E$167,A23)</f>
        <v>4</v>
      </c>
      <c r="C23" s="15"/>
      <c r="D23" s="15"/>
      <c r="E23" s="6"/>
      <c r="F23" s="6"/>
      <c r="G23" s="6"/>
    </row>
    <row r="25" customFormat="false" ht="15" hidden="false" customHeight="true" outlineLevel="0" collapsed="false">
      <c r="A25" s="26" t="s">
        <v>386</v>
      </c>
    </row>
    <row r="26" customFormat="false" ht="23.25" hidden="false" customHeight="true" outlineLevel="0" collapsed="false">
      <c r="A26" s="4" t="s">
        <v>148</v>
      </c>
      <c r="B26" s="4" t="s">
        <v>152</v>
      </c>
      <c r="C26" s="4" t="s">
        <v>153</v>
      </c>
      <c r="D26" s="4" t="s">
        <v>154</v>
      </c>
      <c r="E26" s="4" t="s">
        <v>380</v>
      </c>
      <c r="F26" s="4" t="s">
        <v>381</v>
      </c>
      <c r="G26" s="4" t="s">
        <v>5</v>
      </c>
    </row>
    <row r="27" customFormat="false" ht="15" hidden="false" customHeight="true" outlineLevel="0" collapsed="false">
      <c r="A27" s="5" t="s">
        <v>21</v>
      </c>
      <c r="B27" s="6" t="n">
        <f aca="false">SUMIFS(BOM!$I$5:$I$167,BOM!$D$5:$D$167,"Nhôm",BOM!$E$5:$E$167,A27)</f>
        <v>10</v>
      </c>
      <c r="C27" s="15"/>
      <c r="D27" s="15" t="n">
        <f aca="false">SUMIFS(BOM!$K$5:$K$167,BOM!$D$5:$D$167,"Nhôm",BOM!$E$5:$E$167,A27)</f>
        <v>17.602715</v>
      </c>
      <c r="E27" s="24" t="s">
        <v>383</v>
      </c>
      <c r="F27" s="6" t="n">
        <f aca="false">ROUNDUP(D27*(1+$B$3)/(VALUE(LEFT(E27,FIND("x",E27)-1))*VALUE(MID(E27,FIND("x",E27)+1,10))/1000000),0)</f>
        <v>7</v>
      </c>
      <c r="G27" s="6" t="s">
        <v>384</v>
      </c>
    </row>
    <row r="28" customFormat="false" ht="15" hidden="false" customHeight="true" outlineLevel="0" collapsed="false">
      <c r="A28" s="5" t="s">
        <v>173</v>
      </c>
      <c r="B28" s="6" t="n">
        <f aca="false">SUMIFS(BOM!$I$5:$I$167,BOM!$D$5:$D$167,"Nhôm",BOM!$E$5:$E$167,A28)</f>
        <v>17</v>
      </c>
      <c r="C28" s="15"/>
      <c r="D28" s="15" t="n">
        <f aca="false">SUMIFS(BOM!$K$5:$K$167,BOM!$D$5:$D$167,"Nhôm",BOM!$E$5:$E$167,A28)</f>
        <v>8.06352875</v>
      </c>
      <c r="E28" s="24" t="s">
        <v>383</v>
      </c>
      <c r="F28" s="6" t="n">
        <f aca="false">ROUNDUP(D28*(1+$B$3)/(VALUE(LEFT(E28,FIND("x",E28)-1))*VALUE(MID(E28,FIND("x",E28)+1,10))/1000000),0)</f>
        <v>3</v>
      </c>
      <c r="G28" s="6" t="s">
        <v>384</v>
      </c>
    </row>
    <row r="30" customFormat="false" ht="15" hidden="false" customHeight="true" outlineLevel="0" collapsed="false">
      <c r="A30" s="27" t="s">
        <v>387</v>
      </c>
    </row>
    <row r="31" customFormat="false" ht="23.25" hidden="false" customHeight="true" outlineLevel="0" collapsed="false">
      <c r="A31" s="4" t="s">
        <v>148</v>
      </c>
      <c r="B31" s="4" t="s">
        <v>152</v>
      </c>
      <c r="C31" s="4" t="s">
        <v>153</v>
      </c>
      <c r="D31" s="4" t="s">
        <v>154</v>
      </c>
      <c r="E31" s="4" t="s">
        <v>380</v>
      </c>
      <c r="F31" s="4" t="s">
        <v>381</v>
      </c>
      <c r="G31" s="4" t="s">
        <v>5</v>
      </c>
    </row>
    <row r="32" customFormat="false" ht="15" hidden="false" customHeight="true" outlineLevel="0" collapsed="false">
      <c r="A32" s="5" t="s">
        <v>114</v>
      </c>
      <c r="B32" s="6" t="n">
        <f aca="false">SUMIFS(BOM!$I$5:$I$167,BOM!$D$5:$D$167,"Kính",BOM!$E$5:$E$167,A32)</f>
        <v>2</v>
      </c>
      <c r="C32" s="15"/>
      <c r="D32" s="15" t="n">
        <f aca="false">SUMIFS(BOM!$K$5:$K$167,BOM!$D$5:$D$167,"Kính",BOM!$E$5:$E$167,A32)</f>
        <v>3.91176405</v>
      </c>
      <c r="E32" s="6"/>
      <c r="F32" s="6"/>
      <c r="G32" s="6" t="s">
        <v>388</v>
      </c>
    </row>
    <row r="34" customFormat="false" ht="15" hidden="false" customHeight="true" outlineLevel="0" collapsed="false">
      <c r="A34" s="28" t="s">
        <v>389</v>
      </c>
    </row>
    <row r="35" customFormat="false" ht="15" hidden="false" customHeight="true" outlineLevel="0" collapsed="false">
      <c r="A35" s="4" t="s">
        <v>148</v>
      </c>
      <c r="B35" s="4" t="s">
        <v>152</v>
      </c>
      <c r="C35" s="4"/>
      <c r="D35" s="4"/>
      <c r="E35" s="4"/>
      <c r="F35" s="4" t="s">
        <v>390</v>
      </c>
      <c r="G35" s="4" t="s">
        <v>5</v>
      </c>
    </row>
    <row r="36" customFormat="false" ht="34.5" hidden="false" customHeight="true" outlineLevel="0" collapsed="false">
      <c r="A36" s="5" t="s">
        <v>346</v>
      </c>
      <c r="B36" s="6" t="n">
        <f aca="false">SUMIFS(BOM!$I$5:$I$167,BOM!$E$5:$E$167,A36)</f>
        <v>18</v>
      </c>
      <c r="C36" s="6"/>
      <c r="D36" s="6"/>
      <c r="E36" s="6"/>
      <c r="F36" s="29"/>
      <c r="G36" s="6" t="s">
        <v>347</v>
      </c>
    </row>
    <row r="37" customFormat="false" ht="15" hidden="false" customHeight="true" outlineLevel="0" collapsed="false">
      <c r="A37" s="5" t="s">
        <v>349</v>
      </c>
      <c r="B37" s="6" t="n">
        <f aca="false">SUMIFS(BOM!$I$5:$I$167,BOM!$E$5:$E$167,A37)</f>
        <v>8</v>
      </c>
      <c r="C37" s="6"/>
      <c r="D37" s="6"/>
      <c r="E37" s="6"/>
      <c r="F37" s="29"/>
      <c r="G37" s="6" t="s">
        <v>350</v>
      </c>
    </row>
    <row r="38" customFormat="false" ht="15" hidden="false" customHeight="true" outlineLevel="0" collapsed="false">
      <c r="A38" s="5" t="s">
        <v>352</v>
      </c>
      <c r="B38" s="6" t="n">
        <f aca="false">SUMIFS(BOM!$I$5:$I$167,BOM!$E$5:$E$167,A38)</f>
        <v>26</v>
      </c>
      <c r="C38" s="6"/>
      <c r="D38" s="6"/>
      <c r="E38" s="6"/>
      <c r="F38" s="29"/>
      <c r="G38" s="6" t="s">
        <v>353</v>
      </c>
    </row>
    <row r="40" customFormat="false" ht="15" hidden="false" customHeight="true" outlineLevel="0" collapsed="false">
      <c r="A40" s="28" t="s">
        <v>391</v>
      </c>
    </row>
    <row r="41" customFormat="false" ht="15" hidden="false" customHeight="true" outlineLevel="0" collapsed="false">
      <c r="A41" s="4" t="s">
        <v>124</v>
      </c>
      <c r="B41" s="4" t="s">
        <v>152</v>
      </c>
      <c r="C41" s="4"/>
      <c r="D41" s="4"/>
      <c r="E41" s="4"/>
      <c r="F41" s="4" t="s">
        <v>390</v>
      </c>
      <c r="G41" s="4" t="s">
        <v>5</v>
      </c>
    </row>
    <row r="42" customFormat="false" ht="15" hidden="false" customHeight="true" outlineLevel="0" collapsed="false">
      <c r="A42" s="5" t="s">
        <v>61</v>
      </c>
      <c r="B42" s="6" t="n">
        <f aca="false">SUMIFS(BOM!$I$5:$I$167,BOM!$E$5:$E$167,A42)</f>
        <v>6</v>
      </c>
      <c r="C42" s="6"/>
      <c r="D42" s="6"/>
      <c r="E42" s="6"/>
      <c r="F42" s="29"/>
      <c r="G42" s="6"/>
    </row>
    <row r="43" customFormat="false" ht="15" hidden="false" customHeight="true" outlineLevel="0" collapsed="false">
      <c r="A43" s="5" t="s">
        <v>358</v>
      </c>
      <c r="B43" s="6" t="n">
        <f aca="false">SUMIFS(BOM!$I$5:$I$167,BOM!$E$5:$E$167,A43)</f>
        <v>4</v>
      </c>
      <c r="C43" s="6"/>
      <c r="D43" s="6"/>
      <c r="E43" s="6"/>
      <c r="F43" s="29"/>
      <c r="G43" s="6" t="s">
        <v>359</v>
      </c>
    </row>
    <row r="44" customFormat="false" ht="15" hidden="false" customHeight="true" outlineLevel="0" collapsed="false">
      <c r="A44" s="5" t="s">
        <v>361</v>
      </c>
      <c r="B44" s="6" t="n">
        <f aca="false">SUMIFS(BOM!$I$5:$I$167,BOM!$E$5:$E$167,A44)</f>
        <v>2</v>
      </c>
      <c r="C44" s="6"/>
      <c r="D44" s="6"/>
      <c r="E44" s="6"/>
      <c r="F44" s="29"/>
      <c r="G44" s="6"/>
    </row>
    <row r="45" customFormat="false" ht="15" hidden="false" customHeight="true" outlineLevel="0" collapsed="false">
      <c r="A45" s="5" t="s">
        <v>363</v>
      </c>
      <c r="B45" s="6" t="n">
        <f aca="false">SUMIFS(BOM!$I$5:$I$167,BOM!$E$5:$E$167,A45)</f>
        <v>1</v>
      </c>
      <c r="C45" s="6"/>
      <c r="D45" s="6"/>
      <c r="E45" s="6"/>
      <c r="F45" s="29"/>
      <c r="G45" s="6"/>
    </row>
    <row r="46" customFormat="false" ht="15" hidden="false" customHeight="true" outlineLevel="0" collapsed="false">
      <c r="A46" s="5" t="s">
        <v>365</v>
      </c>
      <c r="B46" s="6" t="n">
        <f aca="false">SUMIFS(BOM!$I$5:$I$167,BOM!$E$5:$E$167,A46)</f>
        <v>1</v>
      </c>
      <c r="C46" s="6"/>
      <c r="D46" s="6"/>
      <c r="E46" s="6"/>
      <c r="F46" s="29"/>
      <c r="G46" s="6"/>
    </row>
    <row r="47" customFormat="false" ht="15" hidden="false" customHeight="true" outlineLevel="0" collapsed="false">
      <c r="A47" s="5" t="s">
        <v>367</v>
      </c>
      <c r="B47" s="6" t="n">
        <f aca="false">SUMIFS(BOM!$I$5:$I$167,BOM!$E$5:$E$167,A47)</f>
        <v>1</v>
      </c>
      <c r="C47" s="6"/>
      <c r="D47" s="6"/>
      <c r="E47" s="6"/>
      <c r="F47" s="29"/>
      <c r="G47" s="6"/>
    </row>
    <row r="48" customFormat="false" ht="15" hidden="false" customHeight="true" outlineLevel="0" collapsed="false">
      <c r="A48" s="5" t="s">
        <v>369</v>
      </c>
      <c r="B48" s="6" t="n">
        <f aca="false">SUMIFS(BOM!$I$5:$I$167,BOM!$E$5:$E$167,A48)</f>
        <v>1</v>
      </c>
      <c r="C48" s="6"/>
      <c r="D48" s="6"/>
      <c r="E48" s="6"/>
      <c r="F48" s="29"/>
      <c r="G48" s="6"/>
    </row>
    <row r="49" customFormat="false" ht="15" hidden="false" customHeight="true" outlineLevel="0" collapsed="false">
      <c r="A49" s="5" t="s">
        <v>371</v>
      </c>
      <c r="B49" s="6" t="n">
        <f aca="false">SUMIFS(BOM!$I$5:$I$167,BOM!$E$5:$E$167,A49)</f>
        <v>1</v>
      </c>
      <c r="C49" s="6"/>
      <c r="D49" s="6"/>
      <c r="E49" s="6"/>
      <c r="F49" s="29"/>
      <c r="G49" s="6"/>
    </row>
    <row r="50" customFormat="false" ht="15" hidden="false" customHeight="true" outlineLevel="0" collapsed="false">
      <c r="A50" s="5" t="s">
        <v>373</v>
      </c>
      <c r="B50" s="6" t="n">
        <f aca="false">SUMIFS(BOM!$I$5:$I$167,BOM!$E$5:$E$167,A50)</f>
        <v>3</v>
      </c>
      <c r="C50" s="6"/>
      <c r="D50" s="6"/>
      <c r="E50" s="6"/>
      <c r="F50" s="29"/>
      <c r="G50" s="6"/>
    </row>
    <row r="51" customFormat="false" ht="15" hidden="false" customHeight="true" outlineLevel="0" collapsed="false">
      <c r="A51" s="5" t="s">
        <v>375</v>
      </c>
      <c r="B51" s="6" t="n">
        <f aca="false">SUMIFS(BOM!$I$5:$I$167,BOM!$E$5:$E$167,A51)</f>
        <v>1</v>
      </c>
      <c r="C51" s="6"/>
      <c r="D51" s="6"/>
      <c r="E51" s="6"/>
      <c r="F51" s="29"/>
      <c r="G5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2026-10-29T09:32:23Z</dcterms:created>
  <dc:creator>openpyxl</dc:creator>
  <dc:description/>
  <dc:language>en-US</dc:language>
  <cp:lastModifiedBy/>
  <dcterms:modified xsi:type="dcterms:W3CDTF">2026-10-29T09:41:44Z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